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ntbe-my.sharepoint.com/personal/morgane_taillades_ugent_be/Documents/UGent-PC/Mtaillad/Desktop/Salamandres/Redaction/Taillades et al. 2026/MT/V2/Datas and analysis/"/>
    </mc:Choice>
  </mc:AlternateContent>
  <xr:revisionPtr revIDLastSave="176" documentId="13_ncr:1_{9DC7DEBF-E131-4C9E-BA4E-C9994CD62F89}" xr6:coauthVersionLast="47" xr6:coauthVersionMax="47" xr10:uidLastSave="{45440292-1578-403B-86CA-136BE1DDCBA9}"/>
  <bookViews>
    <workbookView xWindow="-120" yWindow="-16320" windowWidth="29040" windowHeight="15720" xr2:uid="{00000000-000D-0000-FFFF-FFFF00000000}"/>
  </bookViews>
  <sheets>
    <sheet name="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5" i="1" l="1"/>
  <c r="BN5" i="1"/>
  <c r="BP5" i="1"/>
  <c r="BQ5" i="1"/>
  <c r="BR5" i="1"/>
  <c r="BS5" i="1"/>
  <c r="BT5" i="1"/>
  <c r="BU5" i="1"/>
  <c r="BW5" i="1"/>
  <c r="BX5" i="1"/>
  <c r="BY5" i="1"/>
  <c r="CB5" i="1"/>
  <c r="CD5" i="1"/>
  <c r="CE5" i="1"/>
  <c r="BK6" i="1"/>
  <c r="BN6" i="1"/>
  <c r="BP6" i="1"/>
  <c r="BQ6" i="1"/>
  <c r="BR6" i="1"/>
  <c r="BS6" i="1"/>
  <c r="BT6" i="1"/>
  <c r="BU6" i="1"/>
  <c r="BW6" i="1"/>
  <c r="BX6" i="1"/>
  <c r="BY6" i="1"/>
  <c r="CB6" i="1"/>
  <c r="CD6" i="1"/>
  <c r="CE6" i="1"/>
  <c r="BL7" i="1"/>
  <c r="BM7" i="1"/>
  <c r="BP7" i="1"/>
  <c r="BQ7" i="1"/>
  <c r="BR7" i="1"/>
  <c r="BS7" i="1"/>
  <c r="BU7" i="1"/>
  <c r="BW7" i="1"/>
  <c r="BX7" i="1"/>
  <c r="BY7" i="1"/>
  <c r="CB7" i="1"/>
  <c r="CD7" i="1"/>
  <c r="CE7" i="1"/>
  <c r="CG7" i="1"/>
  <c r="CH7" i="1"/>
  <c r="BK8" i="1"/>
  <c r="BL8" i="1"/>
  <c r="BM8" i="1"/>
  <c r="BO8" i="1"/>
  <c r="BR8" i="1"/>
  <c r="BS8" i="1"/>
  <c r="BT8" i="1"/>
  <c r="BU8" i="1"/>
  <c r="BW8" i="1"/>
  <c r="BX8" i="1"/>
  <c r="BY8" i="1"/>
  <c r="CB8" i="1"/>
  <c r="CD8" i="1"/>
  <c r="CE8" i="1"/>
  <c r="BK9" i="1"/>
  <c r="BL9" i="1"/>
  <c r="BM9" i="1"/>
  <c r="BO9" i="1"/>
  <c r="BR9" i="1"/>
  <c r="BS9" i="1"/>
  <c r="BT9" i="1"/>
  <c r="BU9" i="1"/>
  <c r="BW9" i="1"/>
  <c r="BX9" i="1"/>
  <c r="BY9" i="1"/>
  <c r="CB9" i="1"/>
  <c r="CD9" i="1"/>
  <c r="CE9" i="1"/>
  <c r="BK10" i="1"/>
  <c r="BN10" i="1"/>
  <c r="BP10" i="1"/>
  <c r="BQ10" i="1"/>
  <c r="BS10" i="1"/>
  <c r="BU10" i="1"/>
  <c r="BV10" i="1"/>
  <c r="BY10" i="1"/>
  <c r="CB10" i="1"/>
  <c r="CD10" i="1"/>
  <c r="CE10" i="1"/>
  <c r="BK11" i="1"/>
  <c r="BN11" i="1"/>
  <c r="BP11" i="1"/>
  <c r="BQ11" i="1"/>
  <c r="BR11" i="1"/>
  <c r="BS11" i="1"/>
  <c r="BU11" i="1"/>
  <c r="BW11" i="1"/>
  <c r="BX11" i="1"/>
  <c r="BY11" i="1"/>
  <c r="CB11" i="1"/>
  <c r="CD11" i="1"/>
  <c r="CE11" i="1"/>
  <c r="BK12" i="1"/>
  <c r="BL12" i="1"/>
  <c r="BM12" i="1"/>
  <c r="BP12" i="1"/>
  <c r="BQ12" i="1"/>
  <c r="BS12" i="1"/>
  <c r="BU12" i="1"/>
  <c r="BW12" i="1"/>
  <c r="BX12" i="1"/>
  <c r="BY12" i="1"/>
  <c r="CB12" i="1"/>
  <c r="CD12" i="1"/>
  <c r="CE12" i="1"/>
  <c r="BK13" i="1"/>
  <c r="BN13" i="1"/>
  <c r="BO13" i="1"/>
  <c r="BS13" i="1"/>
  <c r="BT13" i="1"/>
  <c r="BU13" i="1"/>
  <c r="BW13" i="1"/>
  <c r="BX13" i="1"/>
  <c r="BY13" i="1"/>
  <c r="CB13" i="1"/>
  <c r="CD13" i="1"/>
  <c r="CE13" i="1"/>
  <c r="BK14" i="1"/>
  <c r="BL14" i="1"/>
  <c r="BM14" i="1"/>
  <c r="BP14" i="1"/>
  <c r="BQ14" i="1"/>
  <c r="BS14" i="1"/>
  <c r="BT14" i="1"/>
  <c r="BU14" i="1"/>
  <c r="BV14" i="1"/>
  <c r="BY14" i="1"/>
  <c r="CB14" i="1"/>
  <c r="CD14" i="1"/>
  <c r="CE14" i="1"/>
  <c r="BK15" i="1"/>
  <c r="BN15" i="1"/>
  <c r="BO15" i="1"/>
  <c r="BR15" i="1"/>
  <c r="BS15" i="1"/>
  <c r="BT15" i="1"/>
  <c r="BU15" i="1"/>
  <c r="BV15" i="1"/>
  <c r="BY15" i="1"/>
  <c r="CB15" i="1"/>
  <c r="CD15" i="1"/>
  <c r="CE15" i="1"/>
  <c r="BK16" i="1"/>
  <c r="BN16" i="1"/>
  <c r="BP16" i="1"/>
  <c r="BQ16" i="1"/>
  <c r="BR16" i="1"/>
  <c r="BS16" i="1"/>
  <c r="BT16" i="1"/>
  <c r="BU16" i="1"/>
  <c r="BW16" i="1"/>
  <c r="BX16" i="1"/>
  <c r="BY16" i="1"/>
  <c r="CB16" i="1"/>
  <c r="CD16" i="1"/>
  <c r="CE16" i="1"/>
  <c r="BK17" i="1"/>
  <c r="BL17" i="1"/>
  <c r="BM17" i="1"/>
  <c r="BP17" i="1"/>
  <c r="BQ17" i="1"/>
  <c r="BR17" i="1"/>
  <c r="BS17" i="1"/>
  <c r="BT17" i="1"/>
  <c r="BU17" i="1"/>
  <c r="BW17" i="1"/>
  <c r="BX17" i="1"/>
  <c r="BY17" i="1"/>
  <c r="CB17" i="1"/>
  <c r="CC17" i="1"/>
  <c r="CD17" i="1"/>
  <c r="CE17" i="1"/>
  <c r="BK18" i="1"/>
  <c r="BN18" i="1"/>
  <c r="BO18" i="1"/>
  <c r="BS18" i="1"/>
  <c r="BT18" i="1"/>
  <c r="BU18" i="1"/>
  <c r="BW18" i="1"/>
  <c r="BX18" i="1"/>
  <c r="BY18" i="1"/>
  <c r="CB18" i="1"/>
  <c r="CD18" i="1"/>
  <c r="CE18" i="1"/>
  <c r="BK19" i="1"/>
  <c r="BN19" i="1"/>
  <c r="BO19" i="1"/>
  <c r="BR19" i="1"/>
  <c r="BS19" i="1"/>
  <c r="BT19" i="1"/>
  <c r="BU19" i="1"/>
  <c r="BW19" i="1"/>
  <c r="BX19" i="1"/>
  <c r="BY19" i="1"/>
  <c r="CB19" i="1"/>
  <c r="CD19" i="1"/>
  <c r="CE19" i="1"/>
  <c r="BK20" i="1"/>
  <c r="BN20" i="1"/>
  <c r="BO20" i="1"/>
  <c r="BR20" i="1"/>
  <c r="BS20" i="1"/>
  <c r="BT20" i="1"/>
  <c r="BU20" i="1"/>
  <c r="BV20" i="1"/>
  <c r="BY20" i="1"/>
  <c r="CB20" i="1"/>
  <c r="CD20" i="1"/>
  <c r="CE20" i="1"/>
  <c r="BK21" i="1"/>
  <c r="BN21" i="1"/>
  <c r="BO21" i="1"/>
  <c r="BR21" i="1"/>
  <c r="BS21" i="1"/>
  <c r="BT21" i="1"/>
  <c r="BU21" i="1"/>
  <c r="BW21" i="1"/>
  <c r="BX21" i="1"/>
  <c r="BY21" i="1"/>
  <c r="CB21" i="1"/>
  <c r="CD21" i="1"/>
  <c r="CE21" i="1"/>
  <c r="BK22" i="1"/>
  <c r="BN22" i="1"/>
  <c r="BO22" i="1"/>
  <c r="BR22" i="1"/>
  <c r="BS22" i="1"/>
  <c r="BT22" i="1"/>
  <c r="BU22" i="1"/>
  <c r="BW22" i="1"/>
  <c r="BX22" i="1"/>
  <c r="BY22" i="1"/>
  <c r="CB22" i="1"/>
  <c r="CD22" i="1"/>
  <c r="CE22" i="1"/>
  <c r="BK23" i="1"/>
  <c r="BN23" i="1"/>
  <c r="BO23" i="1"/>
  <c r="BS23" i="1"/>
  <c r="BU23" i="1"/>
  <c r="BW23" i="1"/>
  <c r="BX23" i="1"/>
  <c r="BY23" i="1"/>
  <c r="CD23" i="1"/>
  <c r="CE23" i="1"/>
  <c r="BL24" i="1"/>
  <c r="BM24" i="1"/>
  <c r="BP24" i="1"/>
  <c r="BQ24" i="1"/>
  <c r="BR24" i="1"/>
  <c r="BS24" i="1"/>
  <c r="BU24" i="1"/>
  <c r="BW24" i="1"/>
  <c r="BX24" i="1"/>
  <c r="BY24" i="1"/>
  <c r="CB24" i="1"/>
  <c r="CD24" i="1"/>
  <c r="CE24" i="1"/>
  <c r="CH24" i="1"/>
  <c r="BK25" i="1"/>
  <c r="BN25" i="1"/>
  <c r="BP25" i="1"/>
  <c r="BQ25" i="1"/>
  <c r="BR25" i="1"/>
  <c r="BT25" i="1"/>
  <c r="BU25" i="1"/>
  <c r="BV25" i="1"/>
  <c r="BY25" i="1"/>
  <c r="CB25" i="1"/>
  <c r="CD25" i="1"/>
  <c r="CE25" i="1"/>
  <c r="BK26" i="1"/>
  <c r="BL26" i="1"/>
  <c r="BM26" i="1"/>
  <c r="BP26" i="1"/>
  <c r="BQ26" i="1"/>
  <c r="BR26" i="1"/>
  <c r="BS26" i="1"/>
  <c r="BT26" i="1"/>
  <c r="BU26" i="1"/>
  <c r="BW26" i="1"/>
  <c r="BX26" i="1"/>
  <c r="BY26" i="1"/>
  <c r="CB26" i="1"/>
  <c r="CD26" i="1"/>
  <c r="CE26" i="1"/>
  <c r="BK27" i="1"/>
  <c r="BL27" i="1"/>
  <c r="BM27" i="1"/>
  <c r="BP27" i="1"/>
  <c r="BQ27" i="1"/>
  <c r="BR27" i="1"/>
  <c r="BS27" i="1"/>
  <c r="BT27" i="1"/>
  <c r="BU27" i="1"/>
  <c r="BW27" i="1"/>
  <c r="BX27" i="1"/>
  <c r="BY27" i="1"/>
  <c r="CB27" i="1"/>
  <c r="CD27" i="1"/>
  <c r="CE27" i="1"/>
  <c r="BN28" i="1"/>
  <c r="BO28" i="1"/>
  <c r="BS28" i="1"/>
  <c r="BU28" i="1"/>
  <c r="BV28" i="1"/>
  <c r="BZ28" i="1"/>
  <c r="CA28" i="1"/>
  <c r="CB28" i="1"/>
  <c r="CD28" i="1"/>
  <c r="CE28" i="1"/>
  <c r="CF28" i="1"/>
  <c r="CH28" i="1"/>
  <c r="BL29" i="1"/>
  <c r="BM29" i="1"/>
  <c r="BO29" i="1"/>
  <c r="BS29" i="1"/>
  <c r="BU29" i="1"/>
  <c r="BV29" i="1"/>
  <c r="BZ29" i="1"/>
  <c r="CA29" i="1"/>
  <c r="CB29" i="1"/>
  <c r="CC29" i="1"/>
  <c r="CD29" i="1"/>
  <c r="CE29" i="1"/>
  <c r="CF29" i="1"/>
  <c r="CH29" i="1"/>
  <c r="CI29" i="1"/>
  <c r="BK30" i="1"/>
  <c r="BN30" i="1"/>
  <c r="BO30" i="1"/>
  <c r="BS30" i="1"/>
  <c r="BT30" i="1"/>
  <c r="BU30" i="1"/>
  <c r="BW30" i="1"/>
  <c r="BX30" i="1"/>
  <c r="BY30" i="1"/>
  <c r="CB30" i="1"/>
  <c r="CD30" i="1"/>
  <c r="CE30" i="1"/>
  <c r="BK31" i="1"/>
  <c r="BN31" i="1"/>
  <c r="BO31" i="1"/>
  <c r="BR31" i="1"/>
  <c r="BS31" i="1"/>
  <c r="BT31" i="1"/>
  <c r="BU31" i="1"/>
  <c r="BW31" i="1"/>
  <c r="BX31" i="1"/>
  <c r="BY31" i="1"/>
  <c r="CB31" i="1"/>
  <c r="CC31" i="1"/>
  <c r="CD31" i="1"/>
  <c r="CE31" i="1"/>
  <c r="BN3" i="1"/>
  <c r="BO3" i="1"/>
  <c r="BR3" i="1"/>
  <c r="BS3" i="1"/>
  <c r="BU3" i="1"/>
  <c r="BW3" i="1"/>
  <c r="BX3" i="1"/>
  <c r="BY3" i="1"/>
  <c r="CB3" i="1"/>
  <c r="CD3" i="1"/>
  <c r="CE3" i="1"/>
  <c r="CG3" i="1"/>
  <c r="CH3" i="1"/>
  <c r="BN4" i="1"/>
  <c r="BO4" i="1"/>
  <c r="BR4" i="1"/>
  <c r="BS4" i="1"/>
  <c r="BU4" i="1"/>
  <c r="BW4" i="1"/>
  <c r="BX4" i="1"/>
  <c r="BY4" i="1"/>
  <c r="CB4" i="1"/>
  <c r="CD4" i="1"/>
  <c r="CE4" i="1"/>
  <c r="BK4" i="1"/>
</calcChain>
</file>

<file path=xl/sharedStrings.xml><?xml version="1.0" encoding="utf-8"?>
<sst xmlns="http://schemas.openxmlformats.org/spreadsheetml/2006/main" count="280" uniqueCount="152">
  <si>
    <t>Id</t>
  </si>
  <si>
    <t>Adult_habitat</t>
  </si>
  <si>
    <t>SVL</t>
  </si>
  <si>
    <t>HL</t>
  </si>
  <si>
    <t>HW</t>
  </si>
  <si>
    <t>HH</t>
  </si>
  <si>
    <t>LJ</t>
  </si>
  <si>
    <t>pds_MIM</t>
  </si>
  <si>
    <t>pds_MIH</t>
  </si>
  <si>
    <t>pds_MIM_MIH</t>
  </si>
  <si>
    <t>pds_MDM</t>
  </si>
  <si>
    <t>pds_MDMa</t>
  </si>
  <si>
    <t>pds_MDMp</t>
  </si>
  <si>
    <t>pds_MGG</t>
  </si>
  <si>
    <t>pds_MGH</t>
  </si>
  <si>
    <t>pds_MSbH</t>
  </si>
  <si>
    <t>pds_MSbR</t>
  </si>
  <si>
    <t>pds_MRC</t>
  </si>
  <si>
    <t>pds_MRCsup</t>
  </si>
  <si>
    <t>pds_MRCpro</t>
  </si>
  <si>
    <t>pds_MAME</t>
  </si>
  <si>
    <t>pds_MAMEsup</t>
  </si>
  <si>
    <t>PDS_MAMEpro</t>
  </si>
  <si>
    <t>pds_MAMIproI</t>
  </si>
  <si>
    <t>pds_MAMIproII</t>
  </si>
  <si>
    <t>pds_MAMIsup</t>
  </si>
  <si>
    <t>pds_MAMP</t>
  </si>
  <si>
    <t>pds_MPt</t>
  </si>
  <si>
    <t>pds_MIHp</t>
  </si>
  <si>
    <t>pds_MBh</t>
  </si>
  <si>
    <t>pds_Mbhint</t>
  </si>
  <si>
    <t>pcsa_MIM</t>
  </si>
  <si>
    <t>pcsa_MIH</t>
  </si>
  <si>
    <t>pcsa_MIM_MIH</t>
  </si>
  <si>
    <t>pcsa_MDM</t>
  </si>
  <si>
    <t>pcsa_MDMa</t>
  </si>
  <si>
    <t>pcsa_MDMp</t>
  </si>
  <si>
    <t>pcsa_MGG</t>
  </si>
  <si>
    <t>pcsa_MGH</t>
  </si>
  <si>
    <t>pcsa_MSbH</t>
  </si>
  <si>
    <t>pcsa_MSbR</t>
  </si>
  <si>
    <t>pcsa_MRC</t>
  </si>
  <si>
    <t>pcsa_MRCsup</t>
  </si>
  <si>
    <t>pcsa_MRCpro</t>
  </si>
  <si>
    <t>pcsa_MAME</t>
  </si>
  <si>
    <t>pcsa_MAMEsup</t>
  </si>
  <si>
    <t>pcsa_MAMEpro</t>
  </si>
  <si>
    <t>pcsa_MAMIproI</t>
  </si>
  <si>
    <t>pcsa_MAMIproII</t>
  </si>
  <si>
    <t>pcsa_MAMIsup</t>
  </si>
  <si>
    <t>pcsa_MAMP</t>
  </si>
  <si>
    <t>pcsa_MPt</t>
  </si>
  <si>
    <t>pcsa_MIHp</t>
  </si>
  <si>
    <t>pcsa_MBh</t>
  </si>
  <si>
    <t>pcsa_Mbhint</t>
  </si>
  <si>
    <t>SHIK234</t>
  </si>
  <si>
    <t>Salamandridae</t>
  </si>
  <si>
    <t>Triturus_carnifex</t>
  </si>
  <si>
    <t>M2</t>
  </si>
  <si>
    <t>Salamandra_salamandra</t>
  </si>
  <si>
    <t>Salamandra_atra</t>
  </si>
  <si>
    <t>Amphiumidae</t>
  </si>
  <si>
    <t>Amphiuma_means</t>
  </si>
  <si>
    <t>Sirenidae</t>
  </si>
  <si>
    <t>Siren_intermedia</t>
  </si>
  <si>
    <t>M1</t>
  </si>
  <si>
    <t>Hynobiidae</t>
  </si>
  <si>
    <t>Proteidae</t>
  </si>
  <si>
    <t>Proteus_anguinus</t>
  </si>
  <si>
    <t>US027</t>
  </si>
  <si>
    <t>Cryptobranchidae</t>
  </si>
  <si>
    <t>Cryptobranchus_alleganiensis</t>
  </si>
  <si>
    <t>US026</t>
  </si>
  <si>
    <t>Ambystomatidae</t>
  </si>
  <si>
    <t>Ambystoma_maculatum</t>
  </si>
  <si>
    <t>US025</t>
  </si>
  <si>
    <t>Ambystoma_mexicanum</t>
  </si>
  <si>
    <t>US006</t>
  </si>
  <si>
    <t>Plethodontidae</t>
  </si>
  <si>
    <t>Eurycea_lucifuga</t>
  </si>
  <si>
    <t>US002</t>
  </si>
  <si>
    <t>Plethodon_glutinosus</t>
  </si>
  <si>
    <t>Lissotriton_helveticus</t>
  </si>
  <si>
    <t>US012</t>
  </si>
  <si>
    <t>Notophthalmus_perstriatus</t>
  </si>
  <si>
    <t>US003</t>
  </si>
  <si>
    <t>Taricha_granulosa</t>
  </si>
  <si>
    <t>US009</t>
  </si>
  <si>
    <t>Neurergus_kaiseri</t>
  </si>
  <si>
    <t>US013</t>
  </si>
  <si>
    <t>Ambystoma_laterale</t>
  </si>
  <si>
    <t>SIR2</t>
  </si>
  <si>
    <t>Siren_lacertina</t>
  </si>
  <si>
    <t>Life_cycle</t>
  </si>
  <si>
    <t>pds_MQP</t>
  </si>
  <si>
    <t>pcsa_MQP</t>
  </si>
  <si>
    <t>paris</t>
  </si>
  <si>
    <t>Euproctus_platycephalus</t>
  </si>
  <si>
    <t>Bernardezi</t>
  </si>
  <si>
    <t>Hynobius_dunni</t>
  </si>
  <si>
    <t>Pleurodeles_waltl</t>
  </si>
  <si>
    <t>Paramesotriton_labiatus</t>
  </si>
  <si>
    <t>Calotriton_asper</t>
  </si>
  <si>
    <t>Ambystoma_andersoni</t>
  </si>
  <si>
    <t>Hynobius_retardatus</t>
  </si>
  <si>
    <t>Ichthyosaura_alpestris</t>
  </si>
  <si>
    <t>Salamandra_salamandra_bernardezi</t>
  </si>
  <si>
    <t>Family</t>
  </si>
  <si>
    <t>Specie</t>
  </si>
  <si>
    <t>Ambystoma_andersoni_metamorph</t>
  </si>
  <si>
    <t>Ambystoma_mexicanum_metamorph</t>
  </si>
  <si>
    <t>No</t>
  </si>
  <si>
    <t>Yes</t>
  </si>
  <si>
    <t>Aquatic</t>
  </si>
  <si>
    <t>Terrestrial</t>
  </si>
  <si>
    <t>Semi aquatic</t>
  </si>
  <si>
    <t>paedomorph</t>
  </si>
  <si>
    <t>biphasic</t>
  </si>
  <si>
    <t>facultative biphasic</t>
  </si>
  <si>
    <t>direct developer</t>
  </si>
  <si>
    <t>viviparous</t>
  </si>
  <si>
    <t>Ecological transition</t>
  </si>
  <si>
    <t>Morphological transformation</t>
  </si>
  <si>
    <t>lg_MQP</t>
  </si>
  <si>
    <t>lg_MIM</t>
  </si>
  <si>
    <t>lg_MIH</t>
  </si>
  <si>
    <t>lg_MIM_MIH</t>
  </si>
  <si>
    <t xml:space="preserve">lg_MDM </t>
  </si>
  <si>
    <t>lg_MDMa</t>
  </si>
  <si>
    <t>lg_MDMp</t>
  </si>
  <si>
    <t>lg_MGG</t>
  </si>
  <si>
    <t>lg_MGH</t>
  </si>
  <si>
    <t>lg_MSbH</t>
  </si>
  <si>
    <t>lg_MSbR</t>
  </si>
  <si>
    <t>lg_MRC</t>
  </si>
  <si>
    <t>lg_MRCsup</t>
  </si>
  <si>
    <t>lg_MRCpro</t>
  </si>
  <si>
    <t>lg_MAME</t>
  </si>
  <si>
    <t>lg_MAMEsup</t>
  </si>
  <si>
    <t>lg_MAMEpro</t>
  </si>
  <si>
    <t>lg_MAMIproI</t>
  </si>
  <si>
    <t>lg_MAMIproII</t>
  </si>
  <si>
    <t>lg_MAMIsup</t>
  </si>
  <si>
    <t>lg_MAMP</t>
  </si>
  <si>
    <t>lg_MPt</t>
  </si>
  <si>
    <t>lg_MIHp</t>
  </si>
  <si>
    <t>lg_MBh</t>
  </si>
  <si>
    <t>lg_Mbhint</t>
  </si>
  <si>
    <t>PCSA in cm^2 (Mendez, 1960)</t>
  </si>
  <si>
    <t>Fiber length in mm</t>
  </si>
  <si>
    <t>Muscle weight in mg</t>
  </si>
  <si>
    <t>Morphometrics measurments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</si>
</sst>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51">
    <xf numFmtId="0" fontId="0" fillId="0" borderId="0" xfId="0"/>
    <xf numFmtId="49" fontId="1" fillId="0" borderId="1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13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4" xfId="0" applyNumberFormat="1" applyBorder="1" applyAlignment="1">
      <alignment horizontal="center"/>
    </xf>
    <xf numFmtId="0" fontId="3" fillId="0" borderId="0" xfId="0" applyFont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49" fontId="0" fillId="0" borderId="15" xfId="0" applyNumberFormat="1" applyBorder="1" applyAlignment="1">
      <alignment horizontal="center"/>
    </xf>
    <xf numFmtId="0" fontId="0" fillId="0" borderId="11" xfId="0" applyBorder="1"/>
    <xf numFmtId="0" fontId="3" fillId="0" borderId="11" xfId="0" applyFont="1" applyBorder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1" fillId="0" borderId="0" xfId="0" applyNumberFormat="1" applyFont="1"/>
    <xf numFmtId="0" fontId="1" fillId="0" borderId="0" xfId="0" applyFont="1"/>
    <xf numFmtId="0" fontId="5" fillId="0" borderId="0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Normal" xfId="0" builtinId="0"/>
    <cellStyle name="Normal 2" xfId="1" xr:uid="{6B9067CF-4EA9-4863-8D6B-88B6D97E9E28}"/>
    <cellStyle name="Normal 3" xfId="2" xr:uid="{D354C631-5077-44AB-A56D-457D90EDF7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4"/>
  <sheetViews>
    <sheetView tabSelected="1" zoomScale="72" zoomScaleNormal="67" workbookViewId="0">
      <selection activeCell="N48" sqref="N48"/>
    </sheetView>
  </sheetViews>
  <sheetFormatPr defaultColWidth="10.81640625" defaultRowHeight="14.5" x14ac:dyDescent="0.35"/>
  <cols>
    <col min="1" max="1" width="12.08984375" style="32" bestFit="1" customWidth="1"/>
    <col min="2" max="2" width="19.08984375" bestFit="1" customWidth="1"/>
    <col min="3" max="3" width="41.453125" bestFit="1" customWidth="1"/>
    <col min="4" max="4" width="20.7265625" bestFit="1" customWidth="1"/>
    <col min="5" max="5" width="17.26953125" bestFit="1" customWidth="1"/>
    <col min="6" max="6" width="26" bestFit="1" customWidth="1"/>
    <col min="7" max="7" width="36.6328125" bestFit="1" customWidth="1"/>
    <col min="8" max="8" width="11.7265625" customWidth="1"/>
    <col min="9" max="9" width="9.81640625" customWidth="1"/>
    <col min="10" max="10" width="8.81640625" customWidth="1"/>
    <col min="11" max="11" width="6.90625" bestFit="1" customWidth="1"/>
    <col min="12" max="12" width="8" bestFit="1" customWidth="1"/>
    <col min="13" max="13" width="12.90625" bestFit="1" customWidth="1"/>
    <col min="14" max="14" width="12.26953125" bestFit="1" customWidth="1"/>
    <col min="15" max="15" width="11.81640625" bestFit="1" customWidth="1"/>
    <col min="16" max="16" width="18.26953125" bestFit="1" customWidth="1"/>
    <col min="17" max="17" width="13.1796875" bestFit="1" customWidth="1"/>
    <col min="18" max="18" width="14.54296875" bestFit="1" customWidth="1"/>
    <col min="19" max="19" width="14.7265625" bestFit="1" customWidth="1"/>
    <col min="20" max="20" width="13.1796875" bestFit="1" customWidth="1"/>
    <col min="21" max="21" width="12.90625" bestFit="1" customWidth="1"/>
    <col min="22" max="23" width="14.26953125" bestFit="1" customWidth="1"/>
    <col min="24" max="24" width="12.81640625" bestFit="1" customWidth="1"/>
    <col min="25" max="25" width="17.26953125" bestFit="1" customWidth="1"/>
    <col min="26" max="26" width="16.7265625" bestFit="1" customWidth="1"/>
    <col min="27" max="27" width="14.81640625" bestFit="1" customWidth="1"/>
    <col min="28" max="28" width="19.453125" bestFit="1" customWidth="1"/>
    <col min="29" max="29" width="19.6328125" bestFit="1" customWidth="1"/>
    <col min="30" max="30" width="18.6328125" bestFit="1" customWidth="1"/>
    <col min="31" max="31" width="19.453125" bestFit="1" customWidth="1"/>
    <col min="32" max="32" width="18.54296875" bestFit="1" customWidth="1"/>
    <col min="33" max="33" width="14.81640625" bestFit="1" customWidth="1"/>
    <col min="34" max="34" width="11.81640625" bestFit="1" customWidth="1"/>
    <col min="35" max="35" width="13.36328125" bestFit="1" customWidth="1"/>
    <col min="36" max="36" width="12.6328125" bestFit="1" customWidth="1"/>
    <col min="37" max="37" width="15.6328125" bestFit="1" customWidth="1"/>
    <col min="38" max="38" width="10.90625" bestFit="1" customWidth="1"/>
    <col min="39" max="39" width="10.1796875" bestFit="1" customWidth="1"/>
    <col min="40" max="40" width="9.81640625" bestFit="1" customWidth="1"/>
    <col min="41" max="41" width="16.1796875" bestFit="1" customWidth="1"/>
    <col min="42" max="42" width="11.81640625" bestFit="1" customWidth="1"/>
    <col min="43" max="43" width="12.36328125" bestFit="1" customWidth="1"/>
    <col min="44" max="44" width="12.6328125" bestFit="1" customWidth="1"/>
    <col min="45" max="45" width="11.1796875" bestFit="1" customWidth="1"/>
    <col min="46" max="46" width="10.90625" bestFit="1" customWidth="1"/>
    <col min="47" max="48" width="12.26953125" bestFit="1" customWidth="1"/>
    <col min="49" max="49" width="10.7265625" bestFit="1" customWidth="1"/>
    <col min="50" max="50" width="15.26953125" bestFit="1" customWidth="1"/>
    <col min="51" max="51" width="14.54296875" bestFit="1" customWidth="1"/>
    <col min="52" max="52" width="12.81640625" bestFit="1" customWidth="1"/>
    <col min="53" max="53" width="17.26953125" bestFit="1" customWidth="1"/>
    <col min="54" max="54" width="16.7265625" bestFit="1" customWidth="1"/>
    <col min="55" max="55" width="16.6328125" bestFit="1" customWidth="1"/>
    <col min="56" max="56" width="17.26953125" bestFit="1" customWidth="1"/>
    <col min="57" max="57" width="16.36328125" bestFit="1" customWidth="1"/>
    <col min="58" max="58" width="12.81640625" bestFit="1" customWidth="1"/>
    <col min="59" max="59" width="9.81640625" bestFit="1" customWidth="1"/>
    <col min="60" max="60" width="11.26953125" bestFit="1" customWidth="1"/>
    <col min="61" max="61" width="10.453125" bestFit="1" customWidth="1"/>
    <col min="62" max="62" width="13.36328125" bestFit="1" customWidth="1"/>
    <col min="63" max="63" width="14.1796875" bestFit="1" customWidth="1"/>
    <col min="64" max="65" width="13.7265625" bestFit="1" customWidth="1"/>
    <col min="66" max="66" width="19.453125" bestFit="1" customWidth="1"/>
    <col min="67" max="67" width="14.26953125" bestFit="1" customWidth="1"/>
    <col min="68" max="68" width="15.81640625" bestFit="1" customWidth="1"/>
    <col min="69" max="69" width="16.08984375" bestFit="1" customWidth="1"/>
    <col min="70" max="70" width="14.26953125" bestFit="1" customWidth="1"/>
    <col min="71" max="71" width="14.1796875" bestFit="1" customWidth="1"/>
    <col min="72" max="73" width="15.6328125" bestFit="1" customWidth="1"/>
    <col min="74" max="74" width="13.90625" bestFit="1" customWidth="1"/>
    <col min="75" max="75" width="18.54296875" bestFit="1" customWidth="1"/>
    <col min="76" max="76" width="18" bestFit="1" customWidth="1"/>
    <col min="77" max="77" width="16.1796875" bestFit="1" customWidth="1"/>
    <col min="78" max="78" width="20.7265625" bestFit="1" customWidth="1"/>
    <col min="79" max="79" width="20.1796875" bestFit="1" customWidth="1"/>
    <col min="80" max="80" width="20" bestFit="1" customWidth="1"/>
    <col min="81" max="81" width="20.7265625" bestFit="1" customWidth="1"/>
    <col min="82" max="82" width="19.6328125" bestFit="1" customWidth="1"/>
    <col min="83" max="83" width="16.1796875" bestFit="1" customWidth="1"/>
    <col min="84" max="84" width="13.7265625" bestFit="1" customWidth="1"/>
    <col min="85" max="85" width="14.54296875" bestFit="1" customWidth="1"/>
    <col min="86" max="86" width="13.7265625" bestFit="1" customWidth="1"/>
    <col min="87" max="87" width="16.7265625" bestFit="1" customWidth="1"/>
  </cols>
  <sheetData>
    <row r="1" spans="1:88" s="46" customFormat="1" ht="15" thickBot="1" x14ac:dyDescent="0.4">
      <c r="A1" s="45"/>
      <c r="C1" s="47"/>
      <c r="H1" s="48" t="s">
        <v>151</v>
      </c>
      <c r="I1" s="49"/>
      <c r="J1" s="49"/>
      <c r="K1" s="49"/>
      <c r="L1" s="50"/>
      <c r="M1" s="48" t="s">
        <v>150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50"/>
      <c r="AL1" s="48" t="s">
        <v>149</v>
      </c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50"/>
      <c r="BK1" s="48" t="s">
        <v>148</v>
      </c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50"/>
    </row>
    <row r="2" spans="1:88" s="6" customFormat="1" ht="15" thickBot="1" x14ac:dyDescent="0.4">
      <c r="A2" s="1" t="s">
        <v>0</v>
      </c>
      <c r="B2" s="2" t="s">
        <v>107</v>
      </c>
      <c r="C2" s="3" t="s">
        <v>108</v>
      </c>
      <c r="D2" s="4" t="s">
        <v>93</v>
      </c>
      <c r="E2" s="4" t="s">
        <v>1</v>
      </c>
      <c r="F2" s="4" t="s">
        <v>121</v>
      </c>
      <c r="G2" s="4" t="s">
        <v>122</v>
      </c>
      <c r="H2" s="2" t="s">
        <v>2</v>
      </c>
      <c r="I2" s="5" t="s">
        <v>3</v>
      </c>
      <c r="J2" s="5" t="s">
        <v>4</v>
      </c>
      <c r="K2" s="5" t="s">
        <v>5</v>
      </c>
      <c r="L2" s="3" t="s">
        <v>6</v>
      </c>
      <c r="M2" s="2" t="s">
        <v>94</v>
      </c>
      <c r="N2" s="5" t="s">
        <v>7</v>
      </c>
      <c r="O2" s="5" t="s">
        <v>8</v>
      </c>
      <c r="P2" s="5" t="s">
        <v>9</v>
      </c>
      <c r="Q2" s="5" t="s">
        <v>10</v>
      </c>
      <c r="R2" s="5" t="s">
        <v>11</v>
      </c>
      <c r="S2" s="5" t="s">
        <v>12</v>
      </c>
      <c r="T2" s="5" t="s">
        <v>13</v>
      </c>
      <c r="U2" s="5" t="s">
        <v>14</v>
      </c>
      <c r="V2" s="5" t="s">
        <v>15</v>
      </c>
      <c r="W2" s="5" t="s">
        <v>16</v>
      </c>
      <c r="X2" s="5" t="s">
        <v>17</v>
      </c>
      <c r="Y2" s="5" t="s">
        <v>18</v>
      </c>
      <c r="Z2" s="5" t="s">
        <v>19</v>
      </c>
      <c r="AA2" s="5" t="s">
        <v>20</v>
      </c>
      <c r="AB2" s="5" t="s">
        <v>21</v>
      </c>
      <c r="AC2" s="5" t="s">
        <v>22</v>
      </c>
      <c r="AD2" s="5" t="s">
        <v>23</v>
      </c>
      <c r="AE2" s="5" t="s">
        <v>24</v>
      </c>
      <c r="AF2" s="5" t="s">
        <v>25</v>
      </c>
      <c r="AG2" s="5" t="s">
        <v>26</v>
      </c>
      <c r="AH2" s="5" t="s">
        <v>27</v>
      </c>
      <c r="AI2" s="5" t="s">
        <v>28</v>
      </c>
      <c r="AJ2" s="5" t="s">
        <v>29</v>
      </c>
      <c r="AK2" s="3" t="s">
        <v>30</v>
      </c>
      <c r="AL2" s="36" t="s">
        <v>123</v>
      </c>
      <c r="AM2" s="37" t="s">
        <v>124</v>
      </c>
      <c r="AN2" s="37" t="s">
        <v>125</v>
      </c>
      <c r="AO2" s="37" t="s">
        <v>126</v>
      </c>
      <c r="AP2" s="37" t="s">
        <v>127</v>
      </c>
      <c r="AQ2" s="37" t="s">
        <v>128</v>
      </c>
      <c r="AR2" s="37" t="s">
        <v>129</v>
      </c>
      <c r="AS2" s="37" t="s">
        <v>130</v>
      </c>
      <c r="AT2" s="37" t="s">
        <v>131</v>
      </c>
      <c r="AU2" s="37" t="s">
        <v>132</v>
      </c>
      <c r="AV2" s="37" t="s">
        <v>133</v>
      </c>
      <c r="AW2" s="37" t="s">
        <v>134</v>
      </c>
      <c r="AX2" s="37" t="s">
        <v>135</v>
      </c>
      <c r="AY2" s="37" t="s">
        <v>136</v>
      </c>
      <c r="AZ2" s="37" t="s">
        <v>137</v>
      </c>
      <c r="BA2" s="37" t="s">
        <v>138</v>
      </c>
      <c r="BB2" s="37" t="s">
        <v>139</v>
      </c>
      <c r="BC2" s="37" t="s">
        <v>140</v>
      </c>
      <c r="BD2" s="37" t="s">
        <v>141</v>
      </c>
      <c r="BE2" s="37" t="s">
        <v>142</v>
      </c>
      <c r="BF2" s="37" t="s">
        <v>143</v>
      </c>
      <c r="BG2" s="37" t="s">
        <v>144</v>
      </c>
      <c r="BH2" s="37" t="s">
        <v>145</v>
      </c>
      <c r="BI2" s="37" t="s">
        <v>146</v>
      </c>
      <c r="BJ2" s="37" t="s">
        <v>147</v>
      </c>
      <c r="BK2" s="2" t="s">
        <v>95</v>
      </c>
      <c r="BL2" s="5" t="s">
        <v>31</v>
      </c>
      <c r="BM2" s="5" t="s">
        <v>32</v>
      </c>
      <c r="BN2" s="5" t="s">
        <v>33</v>
      </c>
      <c r="BO2" s="5" t="s">
        <v>34</v>
      </c>
      <c r="BP2" s="5" t="s">
        <v>35</v>
      </c>
      <c r="BQ2" s="5" t="s">
        <v>36</v>
      </c>
      <c r="BR2" s="5" t="s">
        <v>37</v>
      </c>
      <c r="BS2" s="5" t="s">
        <v>38</v>
      </c>
      <c r="BT2" s="5" t="s">
        <v>39</v>
      </c>
      <c r="BU2" s="5" t="s">
        <v>40</v>
      </c>
      <c r="BV2" s="5" t="s">
        <v>41</v>
      </c>
      <c r="BW2" s="5" t="s">
        <v>42</v>
      </c>
      <c r="BX2" s="5" t="s">
        <v>43</v>
      </c>
      <c r="BY2" s="5" t="s">
        <v>44</v>
      </c>
      <c r="BZ2" s="5" t="s">
        <v>45</v>
      </c>
      <c r="CA2" s="5" t="s">
        <v>46</v>
      </c>
      <c r="CB2" s="5" t="s">
        <v>47</v>
      </c>
      <c r="CC2" s="5" t="s">
        <v>48</v>
      </c>
      <c r="CD2" s="5" t="s">
        <v>49</v>
      </c>
      <c r="CE2" s="5" t="s">
        <v>50</v>
      </c>
      <c r="CF2" s="5" t="s">
        <v>51</v>
      </c>
      <c r="CG2" s="5" t="s">
        <v>52</v>
      </c>
      <c r="CH2" s="5" t="s">
        <v>53</v>
      </c>
      <c r="CI2" s="3" t="s">
        <v>54</v>
      </c>
    </row>
    <row r="3" spans="1:88" x14ac:dyDescent="0.35">
      <c r="A3" s="7"/>
      <c r="B3" s="8" t="s">
        <v>73</v>
      </c>
      <c r="C3" s="9" t="s">
        <v>103</v>
      </c>
      <c r="D3" s="10" t="s">
        <v>116</v>
      </c>
      <c r="E3" s="11" t="s">
        <v>113</v>
      </c>
      <c r="F3" s="11" t="s">
        <v>111</v>
      </c>
      <c r="G3" s="12" t="s">
        <v>111</v>
      </c>
      <c r="H3" s="11">
        <v>82.75</v>
      </c>
      <c r="I3" s="11">
        <v>19.399999999999999</v>
      </c>
      <c r="J3" s="11">
        <v>21.05</v>
      </c>
      <c r="K3" s="11">
        <v>13.35</v>
      </c>
      <c r="L3" s="12">
        <v>22.45</v>
      </c>
      <c r="M3" s="10"/>
      <c r="N3" s="11"/>
      <c r="O3" s="11"/>
      <c r="P3" s="11">
        <v>51.8</v>
      </c>
      <c r="Q3" s="11">
        <v>72.3</v>
      </c>
      <c r="R3" s="11"/>
      <c r="S3" s="11"/>
      <c r="T3" s="11">
        <v>3.7</v>
      </c>
      <c r="U3" s="11">
        <v>19.2</v>
      </c>
      <c r="V3" s="11"/>
      <c r="W3" s="11">
        <v>17</v>
      </c>
      <c r="X3" s="11"/>
      <c r="Y3" s="11">
        <v>40.9</v>
      </c>
      <c r="Z3" s="11">
        <v>206.2</v>
      </c>
      <c r="AA3" s="11">
        <v>56.4</v>
      </c>
      <c r="AB3" s="11"/>
      <c r="AC3" s="11"/>
      <c r="AD3" s="11">
        <v>15.5</v>
      </c>
      <c r="AE3" s="11"/>
      <c r="AF3" s="11">
        <v>46</v>
      </c>
      <c r="AG3" s="11">
        <v>7.8</v>
      </c>
      <c r="AH3" s="11"/>
      <c r="AI3" s="11">
        <v>25.3</v>
      </c>
      <c r="AJ3" s="11">
        <v>90.7</v>
      </c>
      <c r="AK3" s="12"/>
      <c r="AL3" s="13"/>
      <c r="AM3" s="14"/>
      <c r="AN3" s="14"/>
      <c r="AO3" s="14">
        <v>9.7309999999999999</v>
      </c>
      <c r="AP3" s="14">
        <v>7.7939999999999996</v>
      </c>
      <c r="AQ3" s="8"/>
      <c r="AR3" s="8"/>
      <c r="AS3" s="14">
        <v>2.2970000000000002</v>
      </c>
      <c r="AT3" s="14">
        <v>14.547000000000001</v>
      </c>
      <c r="AU3" s="8"/>
      <c r="AV3" s="15">
        <v>8.0329999999999995</v>
      </c>
      <c r="AW3" s="8"/>
      <c r="AX3" s="14">
        <v>17.279</v>
      </c>
      <c r="AY3" s="14">
        <v>34.719000000000001</v>
      </c>
      <c r="AZ3" s="14">
        <v>8.4849999999999994</v>
      </c>
      <c r="BA3" s="8"/>
      <c r="BB3" s="8"/>
      <c r="BC3" s="14">
        <v>6.681</v>
      </c>
      <c r="BD3" s="8"/>
      <c r="BE3" s="16">
        <v>9.8409999999999993</v>
      </c>
      <c r="BF3" s="14">
        <v>4.4340000000000002</v>
      </c>
      <c r="BG3" s="8"/>
      <c r="BH3" s="14">
        <v>16.012</v>
      </c>
      <c r="BI3" s="14">
        <v>17.201000000000001</v>
      </c>
      <c r="BJ3" s="8"/>
      <c r="BK3" s="38"/>
      <c r="BL3" s="39"/>
      <c r="BM3" s="39"/>
      <c r="BN3" s="39">
        <f t="shared" ref="BN3:CH4" si="0">((P3*0.001)/1.06)/(AO3*0.1)</f>
        <v>5.0218810531601973E-2</v>
      </c>
      <c r="BO3" s="39">
        <f t="shared" si="0"/>
        <v>8.7512890903016838E-2</v>
      </c>
      <c r="BP3" s="39"/>
      <c r="BQ3" s="39"/>
      <c r="BR3" s="39">
        <f t="shared" si="0"/>
        <v>1.519619520128798E-2</v>
      </c>
      <c r="BS3" s="39">
        <f t="shared" si="0"/>
        <v>1.2451507216037539E-2</v>
      </c>
      <c r="BT3" s="39"/>
      <c r="BU3" s="39">
        <f t="shared" si="0"/>
        <v>1.9964814949653433E-2</v>
      </c>
      <c r="BV3" s="39"/>
      <c r="BW3" s="39">
        <f t="shared" si="0"/>
        <v>2.233052008818644E-2</v>
      </c>
      <c r="BX3" s="39">
        <f t="shared" si="0"/>
        <v>5.6029350467119564E-2</v>
      </c>
      <c r="BY3" s="39">
        <f t="shared" si="0"/>
        <v>6.2707775097008034E-2</v>
      </c>
      <c r="BZ3" s="39"/>
      <c r="CA3" s="39"/>
      <c r="CB3" s="39">
        <f t="shared" si="0"/>
        <v>2.1886905417503308E-2</v>
      </c>
      <c r="CC3" s="39"/>
      <c r="CD3" s="39">
        <f t="shared" si="0"/>
        <v>4.409737467238526E-2</v>
      </c>
      <c r="CE3" s="39">
        <f t="shared" si="0"/>
        <v>1.6595603441672834E-2</v>
      </c>
      <c r="CF3" s="39"/>
      <c r="CG3" s="39">
        <f t="shared" si="0"/>
        <v>1.4906273125344666E-2</v>
      </c>
      <c r="CH3" s="39">
        <f t="shared" si="0"/>
        <v>4.974480421827164E-2</v>
      </c>
      <c r="CI3" s="40"/>
      <c r="CJ3" s="17"/>
    </row>
    <row r="4" spans="1:88" x14ac:dyDescent="0.35">
      <c r="A4" s="18"/>
      <c r="B4" t="s">
        <v>73</v>
      </c>
      <c r="C4" s="19" t="s">
        <v>109</v>
      </c>
      <c r="D4" s="20" t="s">
        <v>117</v>
      </c>
      <c r="E4" s="21" t="s">
        <v>114</v>
      </c>
      <c r="F4" s="21" t="s">
        <v>112</v>
      </c>
      <c r="G4" s="22" t="s">
        <v>112</v>
      </c>
      <c r="H4" s="21">
        <v>84.63</v>
      </c>
      <c r="I4" s="21">
        <v>16.260000000000002</v>
      </c>
      <c r="J4" s="21">
        <v>17.420000000000002</v>
      </c>
      <c r="K4" s="21">
        <v>8.3000000000000007</v>
      </c>
      <c r="L4" s="22">
        <v>18.739999999999998</v>
      </c>
      <c r="M4" s="20">
        <v>10.7</v>
      </c>
      <c r="N4" s="21"/>
      <c r="O4" s="21"/>
      <c r="P4" s="21">
        <v>38.5</v>
      </c>
      <c r="Q4" s="21">
        <v>33.700000000000003</v>
      </c>
      <c r="R4" s="21"/>
      <c r="S4" s="21"/>
      <c r="T4" s="21">
        <v>5</v>
      </c>
      <c r="U4" s="21">
        <v>20.7</v>
      </c>
      <c r="V4" s="21"/>
      <c r="W4" s="21">
        <v>13.6</v>
      </c>
      <c r="X4" s="21"/>
      <c r="Y4" s="21">
        <v>14.1</v>
      </c>
      <c r="Z4" s="21">
        <v>28.8</v>
      </c>
      <c r="AA4" s="21">
        <v>20.400000000000002</v>
      </c>
      <c r="AB4" s="21"/>
      <c r="AC4" s="21"/>
      <c r="AD4" s="21">
        <v>11.1</v>
      </c>
      <c r="AE4" s="21"/>
      <c r="AF4" s="21">
        <v>13.100000000000001</v>
      </c>
      <c r="AG4" s="21">
        <v>4.5</v>
      </c>
      <c r="AH4" s="21"/>
      <c r="AI4" s="21"/>
      <c r="AJ4" s="21"/>
      <c r="AK4" s="22"/>
      <c r="AL4" s="23">
        <v>9.2799999999999994</v>
      </c>
      <c r="AM4" s="17"/>
      <c r="AN4" s="17"/>
      <c r="AO4" s="17">
        <v>7.7880000000000003</v>
      </c>
      <c r="AP4" s="17">
        <v>6.9630000000000001</v>
      </c>
      <c r="AQ4" s="17"/>
      <c r="AR4" s="17"/>
      <c r="AS4" s="17">
        <v>4.0579999999999998</v>
      </c>
      <c r="AT4" s="17">
        <v>17.777999999999999</v>
      </c>
      <c r="AU4" s="17"/>
      <c r="AV4" s="17">
        <v>12.901999999999999</v>
      </c>
      <c r="AW4" s="17"/>
      <c r="AX4" s="17">
        <v>11.766999999999999</v>
      </c>
      <c r="AY4" s="17">
        <v>17.498999999999999</v>
      </c>
      <c r="AZ4" s="17">
        <v>6.2969999999999997</v>
      </c>
      <c r="BA4" s="17"/>
      <c r="BB4" s="17"/>
      <c r="BC4" s="17">
        <v>5.2130000000000001</v>
      </c>
      <c r="BD4" s="17"/>
      <c r="BE4" s="17">
        <v>8.4920000000000009</v>
      </c>
      <c r="BF4" s="17">
        <v>3.9140000000000001</v>
      </c>
      <c r="BK4" s="41">
        <f>((M4*0.001)/1.06)/(AL4*0.1)</f>
        <v>1.0877521145087833E-2</v>
      </c>
      <c r="BN4">
        <f t="shared" si="0"/>
        <v>4.66368191024411E-2</v>
      </c>
      <c r="BO4">
        <f t="shared" si="0"/>
        <v>4.5659130877766303E-2</v>
      </c>
      <c r="BR4">
        <f t="shared" si="0"/>
        <v>1.1623906190427481E-2</v>
      </c>
      <c r="BS4">
        <f t="shared" si="0"/>
        <v>1.0984532504664444E-2</v>
      </c>
      <c r="BU4">
        <f t="shared" si="0"/>
        <v>9.9443409388042785E-3</v>
      </c>
      <c r="BW4">
        <f t="shared" si="0"/>
        <v>1.1304399415698843E-2</v>
      </c>
      <c r="BX4">
        <f t="shared" si="0"/>
        <v>1.5526493697213964E-2</v>
      </c>
      <c r="BY4">
        <f t="shared" si="0"/>
        <v>3.0562621913399913E-2</v>
      </c>
      <c r="CB4">
        <f t="shared" si="0"/>
        <v>2.0087661832356701E-2</v>
      </c>
      <c r="CD4">
        <f t="shared" si="0"/>
        <v>1.4553097699055269E-2</v>
      </c>
      <c r="CE4">
        <f t="shared" si="0"/>
        <v>1.0846405260265519E-2</v>
      </c>
      <c r="CI4" s="42"/>
    </row>
    <row r="5" spans="1:88" x14ac:dyDescent="0.35">
      <c r="A5" s="18" t="s">
        <v>89</v>
      </c>
      <c r="B5" t="s">
        <v>73</v>
      </c>
      <c r="C5" s="19" t="s">
        <v>90</v>
      </c>
      <c r="D5" s="20" t="s">
        <v>117</v>
      </c>
      <c r="E5" s="21" t="s">
        <v>114</v>
      </c>
      <c r="F5" s="21" t="s">
        <v>112</v>
      </c>
      <c r="G5" s="22" t="s">
        <v>112</v>
      </c>
      <c r="H5" s="21">
        <v>38.855000000000004</v>
      </c>
      <c r="I5" s="21">
        <v>8.06</v>
      </c>
      <c r="J5" s="21">
        <v>5.4950000000000001</v>
      </c>
      <c r="K5" s="21">
        <v>3.15</v>
      </c>
      <c r="L5" s="22">
        <v>6.8949999999999996</v>
      </c>
      <c r="M5" s="20">
        <v>1.4750000000000001</v>
      </c>
      <c r="N5" s="21"/>
      <c r="O5" s="21"/>
      <c r="P5" s="21">
        <v>3.15</v>
      </c>
      <c r="Q5" s="21"/>
      <c r="R5" s="21">
        <v>1.72</v>
      </c>
      <c r="S5" s="21">
        <v>0.18</v>
      </c>
      <c r="T5" s="21">
        <v>0.01</v>
      </c>
      <c r="U5" s="21">
        <v>0.91</v>
      </c>
      <c r="V5" s="21">
        <v>0.23</v>
      </c>
      <c r="W5" s="21">
        <v>1.18</v>
      </c>
      <c r="X5" s="21"/>
      <c r="Y5" s="21">
        <v>0.56000000000000005</v>
      </c>
      <c r="Z5" s="21">
        <v>2.59</v>
      </c>
      <c r="AA5" s="21">
        <v>1.75</v>
      </c>
      <c r="AB5" s="21"/>
      <c r="AC5" s="21"/>
      <c r="AD5" s="21">
        <v>0.66</v>
      </c>
      <c r="AE5" s="21"/>
      <c r="AF5" s="21">
        <v>1.02</v>
      </c>
      <c r="AG5" s="21">
        <v>0.24</v>
      </c>
      <c r="AH5" s="21"/>
      <c r="AI5" s="21"/>
      <c r="AJ5" s="21"/>
      <c r="AK5" s="22"/>
      <c r="AL5" s="23">
        <v>2.9729999999999999</v>
      </c>
      <c r="AM5" s="17"/>
      <c r="AN5" s="17"/>
      <c r="AO5" s="17">
        <v>2.33</v>
      </c>
      <c r="AP5" s="17"/>
      <c r="AQ5" s="17">
        <v>2.012</v>
      </c>
      <c r="AR5" s="17">
        <v>1.9</v>
      </c>
      <c r="AS5" s="17">
        <v>0.68600000000000005</v>
      </c>
      <c r="AT5" s="17">
        <v>3.7029999999999998</v>
      </c>
      <c r="AU5" s="17">
        <v>0.81699999999999995</v>
      </c>
      <c r="AV5" s="17">
        <v>3.1930000000000001</v>
      </c>
      <c r="AW5" s="17"/>
      <c r="AX5" s="17">
        <v>4.7290000000000001</v>
      </c>
      <c r="AY5" s="17">
        <v>10.416</v>
      </c>
      <c r="AZ5" s="17">
        <v>1.95</v>
      </c>
      <c r="BA5" s="17"/>
      <c r="BB5" s="17"/>
      <c r="BC5" s="17">
        <v>1.9750000000000001</v>
      </c>
      <c r="BD5" s="17"/>
      <c r="BE5" s="17">
        <v>2.601</v>
      </c>
      <c r="BF5" s="17">
        <v>0.95499999999999996</v>
      </c>
      <c r="BG5" s="17"/>
      <c r="BH5" s="17"/>
      <c r="BI5" s="17"/>
      <c r="BJ5" s="17"/>
      <c r="BK5" s="41">
        <f t="shared" ref="BK5:BK31" si="1">((M5*0.001)/1.06)/(AL5*0.1)</f>
        <v>4.6804891825168657E-3</v>
      </c>
      <c r="BN5">
        <f t="shared" ref="BN5:BN31" si="2">((P5*0.001)/1.06)/(AO5*0.1)</f>
        <v>1.2754069155397197E-2</v>
      </c>
      <c r="BP5">
        <f t="shared" ref="BP5:BP27" si="3">((R5*0.001)/1.06)/(AQ5*0.1)</f>
        <v>8.0648186353576637E-3</v>
      </c>
      <c r="BQ5">
        <f t="shared" ref="BQ5:BQ27" si="4">((S5*0.001)/1.06)/(AR5*0.1)</f>
        <v>8.9374379344587878E-4</v>
      </c>
      <c r="BR5">
        <f t="shared" ref="BR5:BR31" si="5">((T5*0.001)/1.06)/(AS5*0.1)</f>
        <v>1.375213158039496E-4</v>
      </c>
      <c r="BS5">
        <f t="shared" ref="BS5:BS31" si="6">((U5*0.001)/1.06)/(AT5*0.1)</f>
        <v>2.3183650176552412E-3</v>
      </c>
      <c r="BT5">
        <f t="shared" ref="BT5:BT31" si="7">((V5*0.001)/1.06)/(AU5*0.1)</f>
        <v>2.6558278099812938E-3</v>
      </c>
      <c r="BU5">
        <f t="shared" ref="BU5:BU31" si="8">((W5*0.001)/1.06)/(AV5*0.1)</f>
        <v>3.4864000850917984E-3</v>
      </c>
      <c r="BW5">
        <f t="shared" ref="BW5:BW31" si="9">((Y5*0.001)/1.06)/(AX5*0.1)</f>
        <v>1.1171534929000906E-3</v>
      </c>
      <c r="BX5">
        <f t="shared" ref="BX5:BX31" si="10">((Z5*0.001)/1.06)/(AY5*0.1)</f>
        <v>2.3458105092310812E-3</v>
      </c>
      <c r="BY5">
        <f t="shared" ref="BY5:BY31" si="11">((AA5*0.001)/1.06)/(AZ5*0.1)</f>
        <v>8.4663763909046917E-3</v>
      </c>
      <c r="CB5">
        <f t="shared" ref="CB5:CB31" si="12">((AD5*0.001)/1.06)/(BC5*0.1)</f>
        <v>3.1526152376403146E-3</v>
      </c>
      <c r="CD5">
        <f t="shared" ref="CD5:CD31" si="13">((AF5*0.001)/1.06)/(BE5*0.1)</f>
        <v>3.6995930447650759E-3</v>
      </c>
      <c r="CE5">
        <f t="shared" ref="CE5:CE31" si="14">((AG5*0.001)/1.06)/(BF5*0.1)</f>
        <v>2.3708386841845303E-3</v>
      </c>
      <c r="CI5" s="42"/>
      <c r="CJ5" s="17"/>
    </row>
    <row r="6" spans="1:88" x14ac:dyDescent="0.35">
      <c r="A6" s="18" t="s">
        <v>72</v>
      </c>
      <c r="B6" t="s">
        <v>73</v>
      </c>
      <c r="C6" s="19" t="s">
        <v>74</v>
      </c>
      <c r="D6" s="20" t="s">
        <v>117</v>
      </c>
      <c r="E6" s="21" t="s">
        <v>114</v>
      </c>
      <c r="F6" s="21" t="s">
        <v>112</v>
      </c>
      <c r="G6" s="22" t="s">
        <v>112</v>
      </c>
      <c r="H6" s="21">
        <v>80.900000000000006</v>
      </c>
      <c r="I6" s="21">
        <v>16.265000000000001</v>
      </c>
      <c r="J6" s="21">
        <v>14.92</v>
      </c>
      <c r="K6" s="21">
        <v>7.49</v>
      </c>
      <c r="L6" s="22">
        <v>15.914999999999999</v>
      </c>
      <c r="M6" s="20">
        <v>16.920000000000002</v>
      </c>
      <c r="N6" s="21"/>
      <c r="O6" s="21"/>
      <c r="P6" s="21">
        <v>26.95</v>
      </c>
      <c r="Q6" s="21"/>
      <c r="R6" s="21">
        <v>15.73</v>
      </c>
      <c r="S6" s="21">
        <v>14.41</v>
      </c>
      <c r="T6" s="21">
        <v>1.4</v>
      </c>
      <c r="U6" s="21">
        <v>10.79</v>
      </c>
      <c r="V6" s="21">
        <v>3.31</v>
      </c>
      <c r="W6" s="21">
        <v>16.52</v>
      </c>
      <c r="X6" s="21"/>
      <c r="Y6" s="21">
        <v>4.3499999999999996</v>
      </c>
      <c r="Z6" s="21">
        <v>53.89</v>
      </c>
      <c r="AA6" s="21">
        <v>29.09</v>
      </c>
      <c r="AB6" s="21"/>
      <c r="AC6" s="21"/>
      <c r="AD6" s="21">
        <v>14.42</v>
      </c>
      <c r="AE6" s="21"/>
      <c r="AF6" s="21">
        <v>18.64</v>
      </c>
      <c r="AG6" s="21">
        <v>5.64</v>
      </c>
      <c r="AH6" s="21"/>
      <c r="AI6" s="21"/>
      <c r="AJ6" s="21"/>
      <c r="AK6" s="22"/>
      <c r="AL6" s="23">
        <v>6.0869999999999997</v>
      </c>
      <c r="AM6" s="17"/>
      <c r="AN6" s="17"/>
      <c r="AO6" s="17">
        <v>4.7560000000000002</v>
      </c>
      <c r="AP6" s="17"/>
      <c r="AQ6" s="17">
        <v>4.6310000000000002</v>
      </c>
      <c r="AR6" s="17">
        <v>5.968</v>
      </c>
      <c r="AS6" s="17">
        <v>2.8740000000000001</v>
      </c>
      <c r="AT6" s="17">
        <v>5.8330000000000002</v>
      </c>
      <c r="AU6" s="17">
        <v>2.5630000000000002</v>
      </c>
      <c r="AV6" s="17">
        <v>9.3279999999999994</v>
      </c>
      <c r="AW6" s="17"/>
      <c r="AX6" s="17">
        <v>9.4390000000000001</v>
      </c>
      <c r="AY6" s="17">
        <v>28.704999999999998</v>
      </c>
      <c r="AZ6" s="17">
        <v>3.5489999999999999</v>
      </c>
      <c r="BA6" s="17"/>
      <c r="BB6" s="17"/>
      <c r="BC6" s="17">
        <v>3.0270000000000001</v>
      </c>
      <c r="BD6" s="17"/>
      <c r="BE6" s="17">
        <v>6.1609999999999996</v>
      </c>
      <c r="BF6" s="17">
        <v>3.3159999999999998</v>
      </c>
      <c r="BG6" s="17"/>
      <c r="BH6" s="17"/>
      <c r="BI6" s="17"/>
      <c r="BJ6" s="17"/>
      <c r="BK6" s="41">
        <f t="shared" si="1"/>
        <v>2.6223532365604398E-2</v>
      </c>
      <c r="BN6">
        <f t="shared" si="2"/>
        <v>5.3457797102369191E-2</v>
      </c>
      <c r="BP6">
        <f t="shared" si="3"/>
        <v>3.2044099852104151E-2</v>
      </c>
      <c r="BQ6">
        <f t="shared" si="4"/>
        <v>2.277871920683899E-2</v>
      </c>
      <c r="BR6">
        <f t="shared" si="5"/>
        <v>4.5955278948543203E-3</v>
      </c>
      <c r="BS6">
        <f t="shared" si="6"/>
        <v>1.7451131978431109E-2</v>
      </c>
      <c r="BT6">
        <f t="shared" si="7"/>
        <v>1.2183540809340468E-2</v>
      </c>
      <c r="BU6">
        <f t="shared" si="8"/>
        <v>1.6707660442085506E-2</v>
      </c>
      <c r="BW6">
        <f t="shared" si="9"/>
        <v>4.3476783397665645E-3</v>
      </c>
      <c r="BX6">
        <f t="shared" si="10"/>
        <v>1.7711068678456517E-2</v>
      </c>
      <c r="BY6">
        <f t="shared" si="11"/>
        <v>7.732712377124569E-2</v>
      </c>
      <c r="CB6">
        <f t="shared" si="12"/>
        <v>4.4941438998697257E-2</v>
      </c>
      <c r="CD6">
        <f t="shared" si="13"/>
        <v>2.8542291284494984E-2</v>
      </c>
      <c r="CE6">
        <f t="shared" si="14"/>
        <v>1.6045701800304981E-2</v>
      </c>
      <c r="CI6" s="42"/>
      <c r="CJ6" s="17"/>
    </row>
    <row r="7" spans="1:88" x14ac:dyDescent="0.35">
      <c r="A7" s="18"/>
      <c r="B7" t="s">
        <v>73</v>
      </c>
      <c r="C7" s="19" t="s">
        <v>76</v>
      </c>
      <c r="D7" s="20" t="s">
        <v>116</v>
      </c>
      <c r="E7" s="21" t="s">
        <v>113</v>
      </c>
      <c r="F7" s="21" t="s">
        <v>111</v>
      </c>
      <c r="G7" s="22" t="s">
        <v>111</v>
      </c>
      <c r="H7" s="21">
        <v>107.85</v>
      </c>
      <c r="I7" s="21">
        <v>30.405000000000001</v>
      </c>
      <c r="J7" s="21">
        <v>28.35</v>
      </c>
      <c r="K7" s="21">
        <v>12.89</v>
      </c>
      <c r="L7" s="22">
        <v>27.245000000000001</v>
      </c>
      <c r="M7" s="20"/>
      <c r="N7" s="21">
        <v>80.64</v>
      </c>
      <c r="O7" s="21">
        <v>13.3</v>
      </c>
      <c r="P7" s="21"/>
      <c r="Q7" s="21"/>
      <c r="R7" s="21">
        <v>55.8</v>
      </c>
      <c r="S7" s="21">
        <v>77.86</v>
      </c>
      <c r="T7" s="21">
        <v>0.75</v>
      </c>
      <c r="U7" s="21">
        <v>17.600000000000001</v>
      </c>
      <c r="V7" s="21"/>
      <c r="W7" s="21">
        <v>18.600000000000001</v>
      </c>
      <c r="X7" s="21"/>
      <c r="Y7" s="21">
        <v>29.92</v>
      </c>
      <c r="Z7" s="21">
        <v>330</v>
      </c>
      <c r="AA7" s="21">
        <v>81.34</v>
      </c>
      <c r="AB7" s="21"/>
      <c r="AC7" s="21"/>
      <c r="AD7" s="21">
        <v>40.090000000000003</v>
      </c>
      <c r="AE7" s="21"/>
      <c r="AF7" s="21">
        <v>60.19</v>
      </c>
      <c r="AG7" s="21">
        <v>7.19</v>
      </c>
      <c r="AH7" s="21"/>
      <c r="AI7" s="21">
        <v>95.36</v>
      </c>
      <c r="AJ7" s="21">
        <v>104.68</v>
      </c>
      <c r="AK7" s="22"/>
      <c r="AL7" s="23"/>
      <c r="AM7" s="17">
        <v>7.4180000000000001</v>
      </c>
      <c r="AN7" s="17">
        <v>10.047000000000001</v>
      </c>
      <c r="AO7" s="17"/>
      <c r="AP7" s="17"/>
      <c r="AQ7" s="17">
        <v>8.2550000000000008</v>
      </c>
      <c r="AR7" s="17">
        <v>9.0180000000000007</v>
      </c>
      <c r="AS7" s="17">
        <v>1.855</v>
      </c>
      <c r="AT7" s="17">
        <v>14.569000000000001</v>
      </c>
      <c r="AU7" s="17"/>
      <c r="AV7" s="17">
        <v>6.3070000000000004</v>
      </c>
      <c r="AW7" s="17"/>
      <c r="AX7" s="17">
        <v>33.786000000000001</v>
      </c>
      <c r="AY7" s="17">
        <v>38.500999999999998</v>
      </c>
      <c r="AZ7" s="17">
        <v>7.1360000000000001</v>
      </c>
      <c r="BA7" s="17"/>
      <c r="BB7" s="17"/>
      <c r="BC7" s="17">
        <v>8.7119999999999997</v>
      </c>
      <c r="BD7" s="17"/>
      <c r="BE7" s="17">
        <v>10.44</v>
      </c>
      <c r="BF7" s="17">
        <v>4.5229999999999997</v>
      </c>
      <c r="BG7" s="17"/>
      <c r="BH7" s="17">
        <v>13.446999999999999</v>
      </c>
      <c r="BI7" s="17">
        <v>14.407999999999999</v>
      </c>
      <c r="BJ7" s="17"/>
      <c r="BK7" s="41"/>
      <c r="BL7">
        <f t="shared" ref="BL7:BL29" si="15">((N7*0.001)/1.06)/(AM7*0.1)</f>
        <v>0.1025552328095352</v>
      </c>
      <c r="BM7">
        <f t="shared" ref="BM7:BM29" si="16">((O7*0.001)/1.06)/(AN7*0.1)</f>
        <v>1.2488473983597844E-2</v>
      </c>
      <c r="BP7">
        <f t="shared" si="3"/>
        <v>6.3769242197410356E-2</v>
      </c>
      <c r="BQ7">
        <f t="shared" si="4"/>
        <v>8.145135305908098E-2</v>
      </c>
      <c r="BR7">
        <f t="shared" si="5"/>
        <v>3.8142704572038852E-3</v>
      </c>
      <c r="BS7">
        <f t="shared" si="6"/>
        <v>1.139664601887958E-2</v>
      </c>
      <c r="BU7">
        <f t="shared" si="8"/>
        <v>2.7821737452545986E-2</v>
      </c>
      <c r="BW7">
        <f t="shared" si="9"/>
        <v>8.3544708146390863E-3</v>
      </c>
      <c r="BX7">
        <f t="shared" si="10"/>
        <v>8.0860433421724401E-2</v>
      </c>
      <c r="BY7">
        <f t="shared" si="11"/>
        <v>0.10753342076317793</v>
      </c>
      <c r="CB7">
        <f t="shared" si="12"/>
        <v>4.3412252889096808E-2</v>
      </c>
      <c r="CD7">
        <f t="shared" si="13"/>
        <v>5.4389864816019665E-2</v>
      </c>
      <c r="CE7">
        <f t="shared" si="14"/>
        <v>1.4996725332576892E-2</v>
      </c>
      <c r="CG7">
        <f t="shared" ref="CG7" si="17">((AI7*0.001)/1.06)/(BH7*0.1)</f>
        <v>6.6901363985233428E-2</v>
      </c>
      <c r="CH7">
        <f t="shared" ref="CH7:CH29" si="18">((AJ7*0.001)/1.06)/(BI7*0.1)</f>
        <v>6.8541585911390951E-2</v>
      </c>
      <c r="CI7" s="42"/>
      <c r="CJ7" s="17"/>
    </row>
    <row r="8" spans="1:88" x14ac:dyDescent="0.35">
      <c r="A8" s="18" t="s">
        <v>75</v>
      </c>
      <c r="B8" t="s">
        <v>73</v>
      </c>
      <c r="C8" s="19" t="s">
        <v>110</v>
      </c>
      <c r="D8" s="20" t="s">
        <v>117</v>
      </c>
      <c r="E8" s="21" t="s">
        <v>114</v>
      </c>
      <c r="F8" s="21" t="s">
        <v>112</v>
      </c>
      <c r="G8" s="22" t="s">
        <v>112</v>
      </c>
      <c r="H8" s="21">
        <v>105.97499999999999</v>
      </c>
      <c r="I8" s="21">
        <v>25.12</v>
      </c>
      <c r="J8" s="21">
        <v>22.774999999999999</v>
      </c>
      <c r="K8" s="21">
        <v>9.1950000000000003</v>
      </c>
      <c r="L8" s="22">
        <v>22.759999999999998</v>
      </c>
      <c r="M8" s="20">
        <v>38.229999999999997</v>
      </c>
      <c r="N8" s="21">
        <v>35.159999999999997</v>
      </c>
      <c r="O8" s="21">
        <v>24.6</v>
      </c>
      <c r="P8" s="21"/>
      <c r="Q8" s="21">
        <v>62.38</v>
      </c>
      <c r="R8" s="21"/>
      <c r="S8" s="21"/>
      <c r="T8" s="21">
        <v>1.32</v>
      </c>
      <c r="U8" s="21">
        <v>32.49</v>
      </c>
      <c r="V8" s="21">
        <v>11.65</v>
      </c>
      <c r="W8" s="21">
        <v>36.299999999999997</v>
      </c>
      <c r="X8" s="21"/>
      <c r="Y8" s="21">
        <v>16.149999999999999</v>
      </c>
      <c r="Z8" s="21">
        <v>99.57</v>
      </c>
      <c r="AA8" s="21">
        <v>43.32</v>
      </c>
      <c r="AB8" s="21"/>
      <c r="AC8" s="21"/>
      <c r="AD8" s="21">
        <v>34.409999999999997</v>
      </c>
      <c r="AE8" s="21"/>
      <c r="AF8" s="21">
        <v>49.25</v>
      </c>
      <c r="AG8" s="21">
        <v>15.73</v>
      </c>
      <c r="AH8" s="21"/>
      <c r="AI8" s="21"/>
      <c r="AJ8" s="21"/>
      <c r="AK8" s="22"/>
      <c r="AL8" s="23">
        <v>8.8230000000000004</v>
      </c>
      <c r="AM8" s="17">
        <v>5.327</v>
      </c>
      <c r="AN8" s="17">
        <v>8.9550000000000001</v>
      </c>
      <c r="AO8" s="17"/>
      <c r="AP8" s="17">
        <v>7.0970000000000004</v>
      </c>
      <c r="AQ8" s="17"/>
      <c r="AR8" s="17"/>
      <c r="AS8" s="17">
        <v>1.5489999999999999</v>
      </c>
      <c r="AT8" s="17">
        <v>13.036</v>
      </c>
      <c r="AU8" s="17">
        <v>5.1210000000000004</v>
      </c>
      <c r="AV8" s="17">
        <v>10.948</v>
      </c>
      <c r="AW8" s="17"/>
      <c r="AX8" s="17">
        <v>13.739000000000001</v>
      </c>
      <c r="AY8" s="17">
        <v>28.661999999999999</v>
      </c>
      <c r="AZ8" s="17">
        <v>5.0389999999999997</v>
      </c>
      <c r="BA8" s="17"/>
      <c r="BB8" s="17"/>
      <c r="BC8" s="17">
        <v>5.2889999999999997</v>
      </c>
      <c r="BD8" s="17"/>
      <c r="BE8" s="17">
        <v>8.2780000000000005</v>
      </c>
      <c r="BF8" s="17">
        <v>3.7480000000000002</v>
      </c>
      <c r="BG8" s="17"/>
      <c r="BH8" s="17"/>
      <c r="BI8" s="17"/>
      <c r="BJ8" s="17"/>
      <c r="BK8" s="41">
        <f t="shared" si="1"/>
        <v>4.0877295405019894E-2</v>
      </c>
      <c r="BL8">
        <f t="shared" si="15"/>
        <v>6.2267338691110778E-2</v>
      </c>
      <c r="BM8">
        <f t="shared" si="16"/>
        <v>2.5915742233178468E-2</v>
      </c>
      <c r="BO8">
        <f t="shared" ref="BO8:BO31" si="19">((Q8*0.001)/1.06)/(AP8*0.1)</f>
        <v>8.2921032272472273E-2</v>
      </c>
      <c r="BR8">
        <f t="shared" si="5"/>
        <v>8.0392706189020297E-3</v>
      </c>
      <c r="BS8">
        <f t="shared" si="6"/>
        <v>2.351253712505862E-2</v>
      </c>
      <c r="BT8">
        <f t="shared" si="7"/>
        <v>2.1461757542932721E-2</v>
      </c>
      <c r="BU8">
        <f t="shared" si="8"/>
        <v>3.127994429929478E-2</v>
      </c>
      <c r="BW8">
        <f t="shared" si="9"/>
        <v>1.1089489086981418E-2</v>
      </c>
      <c r="BX8">
        <f t="shared" si="10"/>
        <v>3.2772996393884216E-2</v>
      </c>
      <c r="BY8">
        <f t="shared" si="11"/>
        <v>8.1103243755312332E-2</v>
      </c>
      <c r="CB8">
        <f t="shared" si="12"/>
        <v>6.1376941105962174E-2</v>
      </c>
      <c r="CD8">
        <f t="shared" si="13"/>
        <v>5.61274029366313E-2</v>
      </c>
      <c r="CE8">
        <f t="shared" si="14"/>
        <v>3.9593443547250355E-2</v>
      </c>
      <c r="CI8" s="42"/>
      <c r="CJ8" s="17"/>
    </row>
    <row r="9" spans="1:88" x14ac:dyDescent="0.35">
      <c r="A9" s="18" t="s">
        <v>96</v>
      </c>
      <c r="B9" t="s">
        <v>73</v>
      </c>
      <c r="C9" s="19" t="s">
        <v>110</v>
      </c>
      <c r="D9" s="20" t="s">
        <v>117</v>
      </c>
      <c r="E9" s="21" t="s">
        <v>114</v>
      </c>
      <c r="F9" s="21" t="s">
        <v>112</v>
      </c>
      <c r="G9" s="22" t="s">
        <v>112</v>
      </c>
      <c r="H9" s="21">
        <v>104</v>
      </c>
      <c r="I9" s="21">
        <v>21.05</v>
      </c>
      <c r="J9" s="21">
        <v>22.11</v>
      </c>
      <c r="K9" s="21">
        <v>10.66</v>
      </c>
      <c r="L9" s="22">
        <v>22.15</v>
      </c>
      <c r="M9" s="20">
        <v>45.1</v>
      </c>
      <c r="N9" s="21">
        <v>49</v>
      </c>
      <c r="O9" s="21">
        <v>37.699999999999996</v>
      </c>
      <c r="P9" s="21"/>
      <c r="Q9" s="21">
        <v>73.7</v>
      </c>
      <c r="R9" s="21"/>
      <c r="S9" s="21"/>
      <c r="T9" s="21">
        <v>3.6</v>
      </c>
      <c r="U9" s="21">
        <v>36.900000000000006</v>
      </c>
      <c r="V9" s="21">
        <v>15</v>
      </c>
      <c r="W9" s="21">
        <v>58.9</v>
      </c>
      <c r="X9" s="21"/>
      <c r="Y9" s="21">
        <v>21</v>
      </c>
      <c r="Z9" s="21">
        <v>71.400000000000006</v>
      </c>
      <c r="AA9" s="21">
        <v>66.100000000000009</v>
      </c>
      <c r="AB9" s="21"/>
      <c r="AC9" s="21"/>
      <c r="AD9" s="21">
        <v>43.6</v>
      </c>
      <c r="AE9" s="21"/>
      <c r="AF9" s="21">
        <v>38</v>
      </c>
      <c r="AG9" s="21">
        <v>13.5</v>
      </c>
      <c r="AH9" s="21"/>
      <c r="AI9" s="21"/>
      <c r="AJ9" s="21"/>
      <c r="AK9" s="22"/>
      <c r="AL9" s="23">
        <v>12.329000000000001</v>
      </c>
      <c r="AM9" s="17">
        <v>7.6369999999999996</v>
      </c>
      <c r="AN9" s="17">
        <v>11.481</v>
      </c>
      <c r="AO9" s="17"/>
      <c r="AP9" s="17">
        <v>10.585000000000001</v>
      </c>
      <c r="AQ9" s="17"/>
      <c r="AR9" s="17"/>
      <c r="AS9" s="17">
        <v>6.5519999999999996</v>
      </c>
      <c r="AT9" s="17">
        <v>23.262</v>
      </c>
      <c r="AU9" s="17">
        <v>14.867000000000001</v>
      </c>
      <c r="AV9" s="17">
        <v>15.615</v>
      </c>
      <c r="AW9" s="17"/>
      <c r="AX9" s="17">
        <v>16.484000000000002</v>
      </c>
      <c r="AY9" s="17">
        <v>23.713999999999999</v>
      </c>
      <c r="AZ9" s="17">
        <v>7.2309999999999999</v>
      </c>
      <c r="BA9" s="17"/>
      <c r="BB9" s="17"/>
      <c r="BC9" s="17">
        <v>8.2040000000000006</v>
      </c>
      <c r="BD9" s="17"/>
      <c r="BE9" s="17">
        <v>9.43</v>
      </c>
      <c r="BF9" s="17">
        <v>5.048</v>
      </c>
      <c r="BK9" s="41">
        <f t="shared" si="1"/>
        <v>3.4509830327942859E-2</v>
      </c>
      <c r="BL9">
        <f t="shared" si="15"/>
        <v>6.0529547066046373E-2</v>
      </c>
      <c r="BM9">
        <f t="shared" si="16"/>
        <v>3.0978170660960758E-2</v>
      </c>
      <c r="BO9">
        <f t="shared" si="19"/>
        <v>6.5685689075854925E-2</v>
      </c>
      <c r="BR9">
        <f t="shared" si="5"/>
        <v>5.1834957495334854E-3</v>
      </c>
      <c r="BS9">
        <f t="shared" si="6"/>
        <v>1.4964887264515944E-2</v>
      </c>
      <c r="BT9">
        <f t="shared" si="7"/>
        <v>9.5183583750766201E-3</v>
      </c>
      <c r="BU9">
        <f t="shared" si="8"/>
        <v>3.5585038575631799E-2</v>
      </c>
      <c r="BW9">
        <f t="shared" si="9"/>
        <v>1.2018515381410444E-2</v>
      </c>
      <c r="BX9">
        <f t="shared" si="10"/>
        <v>2.8404524992003768E-2</v>
      </c>
      <c r="BY9">
        <f t="shared" si="11"/>
        <v>8.6237713408985936E-2</v>
      </c>
      <c r="CB9">
        <f t="shared" si="12"/>
        <v>5.0136610765112263E-2</v>
      </c>
      <c r="CD9">
        <f t="shared" si="13"/>
        <v>3.8015966706016521E-2</v>
      </c>
      <c r="CE9">
        <f t="shared" si="14"/>
        <v>2.522949496157641E-2</v>
      </c>
      <c r="CI9" s="42"/>
    </row>
    <row r="10" spans="1:88" x14ac:dyDescent="0.35">
      <c r="A10" s="18"/>
      <c r="B10" t="s">
        <v>61</v>
      </c>
      <c r="C10" s="19" t="s">
        <v>62</v>
      </c>
      <c r="D10" s="20" t="s">
        <v>116</v>
      </c>
      <c r="E10" s="21" t="s">
        <v>113</v>
      </c>
      <c r="F10" s="21" t="s">
        <v>111</v>
      </c>
      <c r="G10" s="22" t="s">
        <v>111</v>
      </c>
      <c r="H10" s="21">
        <v>275</v>
      </c>
      <c r="I10" s="21">
        <v>23.605</v>
      </c>
      <c r="J10" s="21">
        <v>14.870000000000001</v>
      </c>
      <c r="K10" s="21">
        <v>10.79</v>
      </c>
      <c r="L10" s="22">
        <v>22.85</v>
      </c>
      <c r="M10" s="20">
        <v>54.32</v>
      </c>
      <c r="N10" s="21"/>
      <c r="O10" s="21"/>
      <c r="P10" s="21">
        <v>48.17</v>
      </c>
      <c r="Q10" s="21"/>
      <c r="R10" s="21">
        <v>27.26</v>
      </c>
      <c r="S10" s="21">
        <v>46.31</v>
      </c>
      <c r="T10" s="21"/>
      <c r="U10" s="21">
        <v>33.409999999999997</v>
      </c>
      <c r="V10" s="21"/>
      <c r="W10" s="21">
        <v>45.14</v>
      </c>
      <c r="X10" s="21">
        <v>89.54</v>
      </c>
      <c r="Y10" s="21"/>
      <c r="Z10" s="21"/>
      <c r="AA10" s="21">
        <v>50.99</v>
      </c>
      <c r="AB10" s="21"/>
      <c r="AC10" s="21"/>
      <c r="AD10" s="21">
        <v>15.89</v>
      </c>
      <c r="AE10" s="21"/>
      <c r="AF10" s="21">
        <v>96.87</v>
      </c>
      <c r="AG10" s="21">
        <v>6.7</v>
      </c>
      <c r="AH10" s="21"/>
      <c r="AI10" s="21"/>
      <c r="AJ10" s="21"/>
      <c r="AK10" s="22"/>
      <c r="AL10" s="23">
        <v>14.175000000000001</v>
      </c>
      <c r="AM10" s="17"/>
      <c r="AN10" s="17"/>
      <c r="AO10" s="17">
        <v>8.2430000000000003</v>
      </c>
      <c r="AP10" s="17"/>
      <c r="AQ10" s="17">
        <v>6.0839999999999996</v>
      </c>
      <c r="AR10" s="17">
        <v>12.566000000000001</v>
      </c>
      <c r="AS10" s="17"/>
      <c r="AT10" s="17">
        <v>22.268000000000001</v>
      </c>
      <c r="AU10" s="17"/>
      <c r="AV10" s="17">
        <v>10.36</v>
      </c>
      <c r="AW10" s="17">
        <v>23.088999999999999</v>
      </c>
      <c r="AX10" s="17"/>
      <c r="AY10" s="17"/>
      <c r="AZ10" s="17">
        <v>6.452</v>
      </c>
      <c r="BA10" s="17"/>
      <c r="BB10" s="17"/>
      <c r="BC10" s="17">
        <v>4.3250000000000002</v>
      </c>
      <c r="BD10" s="17"/>
      <c r="BE10" s="17">
        <v>3.1720000000000002</v>
      </c>
      <c r="BF10" s="17">
        <v>4.3449999999999998</v>
      </c>
      <c r="BG10" s="17"/>
      <c r="BH10" s="17"/>
      <c r="BI10" s="17"/>
      <c r="BJ10" s="17"/>
      <c r="BK10" s="41">
        <f t="shared" si="1"/>
        <v>3.6151875145585835E-2</v>
      </c>
      <c r="BN10">
        <f t="shared" si="2"/>
        <v>5.5129681216080431E-2</v>
      </c>
      <c r="BP10">
        <f t="shared" si="3"/>
        <v>4.2269857219058959E-2</v>
      </c>
      <c r="BQ10">
        <f t="shared" si="4"/>
        <v>3.4767371673788808E-2</v>
      </c>
      <c r="BS10">
        <f t="shared" si="6"/>
        <v>1.4154332640797686E-2</v>
      </c>
      <c r="BU10">
        <f t="shared" si="8"/>
        <v>4.1105121293800534E-2</v>
      </c>
      <c r="BV10">
        <f t="shared" ref="BV10:BV29" si="20">((X10*0.001)/1.06)/(AW10*0.1)</f>
        <v>3.658525623162872E-2</v>
      </c>
      <c r="BY10">
        <f t="shared" si="11"/>
        <v>7.4556375674063327E-2</v>
      </c>
      <c r="CB10">
        <f t="shared" si="12"/>
        <v>3.4660268295343001E-2</v>
      </c>
      <c r="CD10">
        <f t="shared" si="13"/>
        <v>0.28810464203288205</v>
      </c>
      <c r="CE10">
        <f t="shared" si="14"/>
        <v>1.454719152354691E-2</v>
      </c>
      <c r="CI10" s="42"/>
      <c r="CJ10" s="17"/>
    </row>
    <row r="11" spans="1:88" x14ac:dyDescent="0.35">
      <c r="A11" s="18"/>
      <c r="B11" t="s">
        <v>56</v>
      </c>
      <c r="C11" s="19" t="s">
        <v>102</v>
      </c>
      <c r="D11" s="20" t="s">
        <v>118</v>
      </c>
      <c r="E11" s="21" t="s">
        <v>113</v>
      </c>
      <c r="F11" s="21" t="s">
        <v>111</v>
      </c>
      <c r="G11" s="22" t="s">
        <v>112</v>
      </c>
      <c r="H11" s="21">
        <v>74.41</v>
      </c>
      <c r="I11" s="21">
        <v>12.47</v>
      </c>
      <c r="J11" s="21">
        <v>12.41</v>
      </c>
      <c r="K11" s="21">
        <v>7.54</v>
      </c>
      <c r="L11" s="22">
        <v>14.03</v>
      </c>
      <c r="M11" s="20">
        <v>5.8</v>
      </c>
      <c r="N11" s="21"/>
      <c r="O11" s="21"/>
      <c r="P11" s="21">
        <v>11.5</v>
      </c>
      <c r="Q11" s="21"/>
      <c r="R11" s="21">
        <v>19.3</v>
      </c>
      <c r="S11" s="21">
        <v>7.2</v>
      </c>
      <c r="T11" s="21">
        <v>0.6</v>
      </c>
      <c r="U11" s="21">
        <v>2.5</v>
      </c>
      <c r="V11" s="21"/>
      <c r="W11" s="21">
        <v>33.200000000000003</v>
      </c>
      <c r="X11" s="21"/>
      <c r="Y11" s="21">
        <v>3.2</v>
      </c>
      <c r="Z11" s="21">
        <v>25.5</v>
      </c>
      <c r="AA11" s="21">
        <v>17.8</v>
      </c>
      <c r="AB11" s="21"/>
      <c r="AC11" s="21"/>
      <c r="AD11" s="21">
        <v>19</v>
      </c>
      <c r="AE11" s="21"/>
      <c r="AF11" s="21">
        <v>134</v>
      </c>
      <c r="AG11" s="21">
        <v>5.5</v>
      </c>
      <c r="AH11" s="21"/>
      <c r="AI11" s="21"/>
      <c r="AJ11" s="21"/>
      <c r="AK11" s="22"/>
      <c r="AL11" s="23">
        <v>6.298</v>
      </c>
      <c r="AM11" s="17"/>
      <c r="AN11" s="17"/>
      <c r="AO11" s="17">
        <v>6.9210000000000003</v>
      </c>
      <c r="AP11" s="17"/>
      <c r="AQ11" s="17">
        <v>4.8</v>
      </c>
      <c r="AR11" s="17">
        <v>3.4940000000000002</v>
      </c>
      <c r="AS11" s="17">
        <v>1.917</v>
      </c>
      <c r="AT11" s="17">
        <v>8.3420000000000005</v>
      </c>
      <c r="AU11" s="17"/>
      <c r="AV11" s="17">
        <v>13.943</v>
      </c>
      <c r="AW11" s="17"/>
      <c r="AX11" s="17">
        <v>8.0630000000000006</v>
      </c>
      <c r="AY11" s="17">
        <v>11.71</v>
      </c>
      <c r="AZ11" s="17">
        <v>4.3710000000000004</v>
      </c>
      <c r="BA11" s="17"/>
      <c r="BB11" s="17"/>
      <c r="BC11" s="17">
        <v>5.9450000000000003</v>
      </c>
      <c r="BD11" s="17"/>
      <c r="BE11" s="17">
        <v>5.2220000000000004</v>
      </c>
      <c r="BF11" s="17">
        <v>2.3519999999999999</v>
      </c>
      <c r="BK11" s="41">
        <f t="shared" si="1"/>
        <v>8.6879931934067105E-3</v>
      </c>
      <c r="BN11">
        <f t="shared" si="2"/>
        <v>1.56755622074463E-2</v>
      </c>
      <c r="BP11">
        <f t="shared" si="3"/>
        <v>3.7932389937106924E-2</v>
      </c>
      <c r="BQ11">
        <f t="shared" si="4"/>
        <v>1.9440334373751225E-2</v>
      </c>
      <c r="BR11">
        <f t="shared" si="5"/>
        <v>2.9527268432397312E-3</v>
      </c>
      <c r="BS11">
        <f t="shared" si="6"/>
        <v>2.8272483409706732E-3</v>
      </c>
      <c r="BU11">
        <f t="shared" si="8"/>
        <v>2.2463425888963013E-2</v>
      </c>
      <c r="BW11">
        <f t="shared" si="9"/>
        <v>3.7441001172371343E-3</v>
      </c>
      <c r="BX11">
        <f t="shared" si="10"/>
        <v>2.0543641138842789E-2</v>
      </c>
      <c r="BY11">
        <f t="shared" si="11"/>
        <v>3.8417874239736159E-2</v>
      </c>
      <c r="CB11">
        <f t="shared" si="12"/>
        <v>3.015059428408207E-2</v>
      </c>
      <c r="CD11">
        <f t="shared" si="13"/>
        <v>0.24208175859751555</v>
      </c>
      <c r="CE11">
        <f t="shared" si="14"/>
        <v>2.2060711076883583E-2</v>
      </c>
      <c r="CI11" s="42"/>
    </row>
    <row r="12" spans="1:88" x14ac:dyDescent="0.35">
      <c r="A12" s="18" t="s">
        <v>69</v>
      </c>
      <c r="B12" t="s">
        <v>70</v>
      </c>
      <c r="C12" s="19" t="s">
        <v>71</v>
      </c>
      <c r="D12" s="20" t="s">
        <v>116</v>
      </c>
      <c r="E12" s="21" t="s">
        <v>113</v>
      </c>
      <c r="F12" s="21" t="s">
        <v>111</v>
      </c>
      <c r="G12" s="22" t="s">
        <v>111</v>
      </c>
      <c r="H12" s="21">
        <v>90.52000000000001</v>
      </c>
      <c r="I12" s="21">
        <v>15.094999999999999</v>
      </c>
      <c r="J12" s="21">
        <v>19.225000000000001</v>
      </c>
      <c r="K12" s="21">
        <v>5.8449999999999998</v>
      </c>
      <c r="L12" s="22">
        <v>15.475</v>
      </c>
      <c r="M12" s="20">
        <v>22.67</v>
      </c>
      <c r="N12" s="21">
        <v>12.12</v>
      </c>
      <c r="O12" s="21">
        <v>10.6</v>
      </c>
      <c r="P12" s="21"/>
      <c r="Q12" s="21"/>
      <c r="R12" s="21">
        <v>53.64</v>
      </c>
      <c r="S12" s="21">
        <v>12.82</v>
      </c>
      <c r="T12" s="21"/>
      <c r="U12" s="21">
        <v>10.79</v>
      </c>
      <c r="V12" s="21"/>
      <c r="W12" s="21">
        <v>33.380000000000003</v>
      </c>
      <c r="X12" s="21"/>
      <c r="Y12" s="21">
        <v>9.8699999999999992</v>
      </c>
      <c r="Z12" s="21">
        <v>152.57</v>
      </c>
      <c r="AA12" s="21">
        <v>43.86</v>
      </c>
      <c r="AB12" s="21"/>
      <c r="AC12" s="21"/>
      <c r="AD12" s="21">
        <v>24.51</v>
      </c>
      <c r="AE12" s="21"/>
      <c r="AF12" s="21">
        <v>25.81</v>
      </c>
      <c r="AG12" s="21">
        <v>1.78</v>
      </c>
      <c r="AH12" s="21"/>
      <c r="AI12" s="21"/>
      <c r="AJ12" s="21"/>
      <c r="AK12" s="22"/>
      <c r="AL12" s="23">
        <v>6.2279999999999998</v>
      </c>
      <c r="AM12" s="17">
        <v>2.613</v>
      </c>
      <c r="AN12" s="17">
        <v>5.9640000000000004</v>
      </c>
      <c r="AO12" s="17"/>
      <c r="AP12" s="17"/>
      <c r="AQ12" s="17">
        <v>4.1920000000000002</v>
      </c>
      <c r="AR12" s="17">
        <v>5.3540000000000001</v>
      </c>
      <c r="AS12" s="17"/>
      <c r="AT12" s="17">
        <v>9.0370000000000008</v>
      </c>
      <c r="AU12" s="17"/>
      <c r="AV12" s="17">
        <v>6.8460000000000001</v>
      </c>
      <c r="AW12" s="17"/>
      <c r="AX12" s="17">
        <v>18.094000000000001</v>
      </c>
      <c r="AY12" s="17">
        <v>29.998999999999999</v>
      </c>
      <c r="AZ12" s="17">
        <v>5.4219999999999997</v>
      </c>
      <c r="BA12" s="17"/>
      <c r="BB12" s="17"/>
      <c r="BC12" s="17">
        <v>5.0090000000000003</v>
      </c>
      <c r="BD12" s="17"/>
      <c r="BE12" s="17">
        <v>4.181</v>
      </c>
      <c r="BF12" s="17">
        <v>3.0950000000000002</v>
      </c>
      <c r="BG12" s="17"/>
      <c r="BH12" s="17"/>
      <c r="BI12" s="17"/>
      <c r="BJ12" s="17"/>
      <c r="BK12" s="41">
        <f t="shared" si="1"/>
        <v>3.4339743822784506E-2</v>
      </c>
      <c r="BL12">
        <f t="shared" si="15"/>
        <v>4.3757987999046843E-2</v>
      </c>
      <c r="BM12">
        <f t="shared" si="16"/>
        <v>1.6767270288397047E-2</v>
      </c>
      <c r="BP12">
        <f t="shared" si="3"/>
        <v>0.12071510874261845</v>
      </c>
      <c r="BQ12">
        <f t="shared" si="4"/>
        <v>2.2589353049386456E-2</v>
      </c>
      <c r="BS12">
        <f t="shared" si="6"/>
        <v>1.1263965124509091E-2</v>
      </c>
      <c r="BU12">
        <f t="shared" si="8"/>
        <v>4.5998489684101432E-2</v>
      </c>
      <c r="BW12">
        <f t="shared" si="9"/>
        <v>5.1460819911114068E-3</v>
      </c>
      <c r="BX12">
        <f t="shared" si="10"/>
        <v>4.7979586740941667E-2</v>
      </c>
      <c r="BY12">
        <f t="shared" si="11"/>
        <v>7.6313829750214002E-2</v>
      </c>
      <c r="CB12">
        <f t="shared" si="12"/>
        <v>4.6162191074933044E-2</v>
      </c>
      <c r="CD12">
        <f t="shared" si="13"/>
        <v>5.8237399195822964E-2</v>
      </c>
      <c r="CE12">
        <f t="shared" si="14"/>
        <v>5.4256713506263899E-3</v>
      </c>
      <c r="CI12" s="42"/>
      <c r="CJ12" s="17"/>
    </row>
    <row r="13" spans="1:88" x14ac:dyDescent="0.35">
      <c r="A13" s="18"/>
      <c r="B13" t="s">
        <v>56</v>
      </c>
      <c r="C13" s="19" t="s">
        <v>97</v>
      </c>
      <c r="D13" s="20" t="s">
        <v>118</v>
      </c>
      <c r="E13" s="21" t="s">
        <v>113</v>
      </c>
      <c r="F13" s="21" t="s">
        <v>111</v>
      </c>
      <c r="G13" s="22" t="s">
        <v>112</v>
      </c>
      <c r="H13" s="21">
        <v>40.479999999999997</v>
      </c>
      <c r="I13" s="21">
        <v>8.84</v>
      </c>
      <c r="J13" s="21">
        <v>7.33</v>
      </c>
      <c r="K13" s="21">
        <v>3.87</v>
      </c>
      <c r="L13" s="22">
        <v>10.55</v>
      </c>
      <c r="M13" s="20">
        <v>2.7</v>
      </c>
      <c r="N13" s="21"/>
      <c r="O13" s="21"/>
      <c r="P13" s="21">
        <v>4.1000000000000005</v>
      </c>
      <c r="Q13" s="21">
        <v>5.5</v>
      </c>
      <c r="R13" s="21"/>
      <c r="S13" s="21"/>
      <c r="T13" s="21"/>
      <c r="U13" s="21">
        <v>1.1000000000000001</v>
      </c>
      <c r="V13" s="21">
        <v>0.7</v>
      </c>
      <c r="W13" s="21">
        <v>5.5</v>
      </c>
      <c r="X13" s="21"/>
      <c r="Y13" s="21">
        <v>1.8</v>
      </c>
      <c r="Z13" s="21">
        <v>4.5</v>
      </c>
      <c r="AA13" s="21">
        <v>4</v>
      </c>
      <c r="AB13" s="21"/>
      <c r="AC13" s="21"/>
      <c r="AD13" s="21">
        <v>3.5</v>
      </c>
      <c r="AE13" s="21"/>
      <c r="AF13" s="21">
        <v>3.4</v>
      </c>
      <c r="AG13" s="21">
        <v>2.1</v>
      </c>
      <c r="AH13" s="21"/>
      <c r="AI13" s="21"/>
      <c r="AJ13" s="21"/>
      <c r="AK13" s="22"/>
      <c r="AL13" s="23">
        <v>4.9569999999999999</v>
      </c>
      <c r="AM13" s="17"/>
      <c r="AN13" s="17"/>
      <c r="AO13" s="17">
        <v>5.7489999999999997</v>
      </c>
      <c r="AP13" s="17">
        <v>2.613</v>
      </c>
      <c r="AQ13" s="17"/>
      <c r="AR13" s="17"/>
      <c r="AS13" s="17"/>
      <c r="AT13" s="17">
        <v>8.1050000000000004</v>
      </c>
      <c r="AU13" s="17">
        <v>4.0979999999999999</v>
      </c>
      <c r="AV13" s="17">
        <v>9.8140000000000001</v>
      </c>
      <c r="AW13" s="17"/>
      <c r="AX13" s="17">
        <v>5.9320000000000004</v>
      </c>
      <c r="AY13" s="17">
        <v>9.1560000000000006</v>
      </c>
      <c r="AZ13" s="17">
        <v>2.6880000000000002</v>
      </c>
      <c r="BA13" s="17"/>
      <c r="BB13" s="17"/>
      <c r="BC13" s="17">
        <v>2.4990000000000001</v>
      </c>
      <c r="BD13" s="17"/>
      <c r="BE13" s="17">
        <v>3.2549999999999999</v>
      </c>
      <c r="BF13" s="17">
        <v>1.7050000000000001</v>
      </c>
      <c r="BK13" s="41">
        <f t="shared" si="1"/>
        <v>5.1385309891481832E-3</v>
      </c>
      <c r="BN13">
        <f t="shared" si="2"/>
        <v>6.7279953527602842E-3</v>
      </c>
      <c r="BO13">
        <f t="shared" si="19"/>
        <v>1.9857172771844692E-2</v>
      </c>
      <c r="BS13">
        <f t="shared" si="6"/>
        <v>1.2803650204276419E-3</v>
      </c>
      <c r="BT13">
        <f t="shared" si="7"/>
        <v>1.6114625634225622E-3</v>
      </c>
      <c r="BU13">
        <f t="shared" si="8"/>
        <v>5.2870177759150377E-3</v>
      </c>
      <c r="BW13">
        <f t="shared" si="9"/>
        <v>2.8626318400997463E-3</v>
      </c>
      <c r="BX13">
        <f t="shared" si="10"/>
        <v>4.6366131704542639E-3</v>
      </c>
      <c r="BY13">
        <f t="shared" si="11"/>
        <v>1.4038634321653188E-2</v>
      </c>
      <c r="CB13">
        <f t="shared" si="12"/>
        <v>1.3212832302732413E-2</v>
      </c>
      <c r="CD13">
        <f t="shared" si="13"/>
        <v>9.854215575457204E-3</v>
      </c>
      <c r="CE13">
        <f t="shared" si="14"/>
        <v>1.1619542964643391E-2</v>
      </c>
      <c r="CI13" s="42"/>
    </row>
    <row r="14" spans="1:88" x14ac:dyDescent="0.35">
      <c r="A14" s="18" t="s">
        <v>77</v>
      </c>
      <c r="B14" t="s">
        <v>78</v>
      </c>
      <c r="C14" s="19" t="s">
        <v>79</v>
      </c>
      <c r="D14" s="20" t="s">
        <v>117</v>
      </c>
      <c r="E14" s="21" t="s">
        <v>114</v>
      </c>
      <c r="F14" s="21" t="s">
        <v>112</v>
      </c>
      <c r="G14" s="22" t="s">
        <v>112</v>
      </c>
      <c r="H14" s="21">
        <v>61.05</v>
      </c>
      <c r="I14" s="21">
        <v>10.545000000000002</v>
      </c>
      <c r="J14" s="21">
        <v>9.0449999999999999</v>
      </c>
      <c r="K14" s="21">
        <v>3.9249999999999998</v>
      </c>
      <c r="L14" s="22">
        <v>10.52</v>
      </c>
      <c r="M14" s="20">
        <v>2.6349999999999998</v>
      </c>
      <c r="N14" s="21">
        <v>4.0549999999999997</v>
      </c>
      <c r="O14" s="21">
        <v>1.5249999999999999</v>
      </c>
      <c r="P14" s="21"/>
      <c r="Q14" s="21"/>
      <c r="R14" s="21">
        <v>1.08</v>
      </c>
      <c r="S14" s="21">
        <v>2.15</v>
      </c>
      <c r="T14" s="21"/>
      <c r="U14" s="21">
        <v>2.15</v>
      </c>
      <c r="V14" s="21">
        <v>0.2</v>
      </c>
      <c r="W14" s="21">
        <v>12.11</v>
      </c>
      <c r="X14" s="21">
        <v>4.2300000000000004</v>
      </c>
      <c r="Y14" s="21"/>
      <c r="Z14" s="21"/>
      <c r="AA14" s="21">
        <v>4.46</v>
      </c>
      <c r="AB14" s="21"/>
      <c r="AC14" s="21"/>
      <c r="AD14" s="21">
        <v>0.95</v>
      </c>
      <c r="AE14" s="21"/>
      <c r="AF14" s="21">
        <v>2.91</v>
      </c>
      <c r="AG14" s="21">
        <v>0.43</v>
      </c>
      <c r="AH14" s="21"/>
      <c r="AI14" s="21"/>
      <c r="AJ14" s="21"/>
      <c r="AK14" s="22"/>
      <c r="AL14" s="23">
        <v>3.7349999999999999</v>
      </c>
      <c r="AM14" s="17">
        <v>2.927</v>
      </c>
      <c r="AN14" s="17">
        <v>3.6789999999999998</v>
      </c>
      <c r="AO14" s="17"/>
      <c r="AP14" s="17"/>
      <c r="AQ14" s="17">
        <v>2.1819999999999999</v>
      </c>
      <c r="AR14" s="17">
        <v>3.6139999999999999</v>
      </c>
      <c r="AS14" s="17"/>
      <c r="AT14" s="17">
        <v>6.1539999999999999</v>
      </c>
      <c r="AU14" s="17">
        <v>3.149</v>
      </c>
      <c r="AV14" s="17">
        <v>7.9420000000000002</v>
      </c>
      <c r="AW14" s="17">
        <v>20.887</v>
      </c>
      <c r="AX14" s="17"/>
      <c r="AY14" s="17"/>
      <c r="AZ14" s="17">
        <v>2.798</v>
      </c>
      <c r="BA14" s="17"/>
      <c r="BB14" s="17"/>
      <c r="BC14" s="17">
        <v>1.6559999999999999</v>
      </c>
      <c r="BD14" s="17"/>
      <c r="BE14" s="17">
        <v>3.76</v>
      </c>
      <c r="BF14" s="17">
        <v>1.5209999999999999</v>
      </c>
      <c r="BG14" s="17"/>
      <c r="BH14" s="17"/>
      <c r="BI14" s="17"/>
      <c r="BJ14" s="17"/>
      <c r="BK14" s="41">
        <f t="shared" si="1"/>
        <v>6.6555530297289786E-3</v>
      </c>
      <c r="BL14">
        <f t="shared" si="15"/>
        <v>1.3069599241931011E-2</v>
      </c>
      <c r="BM14">
        <f t="shared" si="16"/>
        <v>3.9105171113971698E-3</v>
      </c>
      <c r="BP14">
        <f t="shared" si="3"/>
        <v>4.6694222022378639E-3</v>
      </c>
      <c r="BQ14">
        <f t="shared" si="4"/>
        <v>5.6123461173006439E-3</v>
      </c>
      <c r="BS14">
        <f t="shared" si="6"/>
        <v>3.2959081683335265E-3</v>
      </c>
      <c r="BT14">
        <f t="shared" si="7"/>
        <v>5.9917194437287668E-4</v>
      </c>
      <c r="BU14">
        <f t="shared" si="8"/>
        <v>1.4384951274095682E-2</v>
      </c>
      <c r="BV14">
        <f t="shared" si="20"/>
        <v>1.9105501210015077E-3</v>
      </c>
      <c r="BY14">
        <f t="shared" si="11"/>
        <v>1.5037695388889639E-2</v>
      </c>
      <c r="CB14">
        <f t="shared" si="12"/>
        <v>5.4119952602315197E-3</v>
      </c>
      <c r="CD14">
        <f t="shared" si="13"/>
        <v>7.3012846246487354E-3</v>
      </c>
      <c r="CE14">
        <f t="shared" si="14"/>
        <v>2.6670636249736391E-3</v>
      </c>
      <c r="CI14" s="42"/>
      <c r="CJ14" s="17"/>
    </row>
    <row r="15" spans="1:88" x14ac:dyDescent="0.35">
      <c r="A15" s="18"/>
      <c r="B15" t="s">
        <v>66</v>
      </c>
      <c r="C15" s="19" t="s">
        <v>99</v>
      </c>
      <c r="D15" s="20" t="s">
        <v>117</v>
      </c>
      <c r="E15" s="21" t="s">
        <v>115</v>
      </c>
      <c r="F15" s="21" t="s">
        <v>112</v>
      </c>
      <c r="G15" s="22" t="s">
        <v>112</v>
      </c>
      <c r="H15" s="21">
        <v>64</v>
      </c>
      <c r="I15" s="21">
        <v>14.9</v>
      </c>
      <c r="J15" s="21">
        <v>11.83</v>
      </c>
      <c r="K15" s="21">
        <v>7.07</v>
      </c>
      <c r="L15" s="22">
        <v>12.66</v>
      </c>
      <c r="M15" s="20">
        <v>6.7</v>
      </c>
      <c r="N15" s="21"/>
      <c r="O15" s="21"/>
      <c r="P15" s="21">
        <v>20.9</v>
      </c>
      <c r="Q15" s="21">
        <v>16.8</v>
      </c>
      <c r="R15" s="21"/>
      <c r="S15" s="21"/>
      <c r="T15" s="21">
        <v>0.5</v>
      </c>
      <c r="U15" s="21">
        <v>7.6</v>
      </c>
      <c r="V15" s="21">
        <v>6.8999999999999995</v>
      </c>
      <c r="W15" s="21">
        <v>10.200000000000001</v>
      </c>
      <c r="X15" s="21">
        <v>15</v>
      </c>
      <c r="Y15" s="21"/>
      <c r="Z15" s="21"/>
      <c r="AA15" s="21">
        <v>14.7</v>
      </c>
      <c r="AB15" s="21"/>
      <c r="AC15" s="21"/>
      <c r="AD15" s="21">
        <v>8</v>
      </c>
      <c r="AE15" s="21"/>
      <c r="AF15" s="21">
        <v>7.6</v>
      </c>
      <c r="AG15" s="21">
        <v>2.4</v>
      </c>
      <c r="AH15" s="21"/>
      <c r="AI15" s="21"/>
      <c r="AJ15" s="21"/>
      <c r="AK15" s="22"/>
      <c r="AL15" s="23">
        <v>2.83</v>
      </c>
      <c r="AM15" s="17"/>
      <c r="AN15" s="17"/>
      <c r="AO15" s="17">
        <v>4.7930000000000001</v>
      </c>
      <c r="AP15" s="17">
        <v>4.141</v>
      </c>
      <c r="AQ15" s="17"/>
      <c r="AR15" s="17"/>
      <c r="AS15" s="17">
        <v>1.268</v>
      </c>
      <c r="AT15" s="17">
        <v>6.6589999999999998</v>
      </c>
      <c r="AU15" s="17">
        <v>7.5209999999999999</v>
      </c>
      <c r="AV15" s="17">
        <v>6.5990000000000002</v>
      </c>
      <c r="AW15" s="17">
        <v>14.798</v>
      </c>
      <c r="AX15" s="17"/>
      <c r="AY15" s="17"/>
      <c r="AZ15" s="17">
        <v>3.36</v>
      </c>
      <c r="BA15" s="17"/>
      <c r="BB15" s="17"/>
      <c r="BC15" s="17">
        <v>2.89</v>
      </c>
      <c r="BD15" s="17"/>
      <c r="BE15" s="17">
        <v>4.4379999999999997</v>
      </c>
      <c r="BF15" s="17">
        <v>1.5029999999999999</v>
      </c>
      <c r="BK15" s="41">
        <f t="shared" si="1"/>
        <v>2.2334822321488097E-2</v>
      </c>
      <c r="BN15">
        <f t="shared" si="2"/>
        <v>4.1137035535312887E-2</v>
      </c>
      <c r="BO15">
        <f t="shared" si="19"/>
        <v>3.8273500612831649E-2</v>
      </c>
      <c r="BR15">
        <f t="shared" si="5"/>
        <v>3.7200166656746626E-3</v>
      </c>
      <c r="BS15">
        <f t="shared" si="6"/>
        <v>1.0767099145148996E-2</v>
      </c>
      <c r="BT15">
        <f t="shared" si="7"/>
        <v>8.6550112515146257E-3</v>
      </c>
      <c r="BU15">
        <f t="shared" si="8"/>
        <v>1.4581969252059346E-2</v>
      </c>
      <c r="BV15">
        <f t="shared" si="20"/>
        <v>9.5627405029236473E-3</v>
      </c>
      <c r="BY15">
        <f t="shared" si="11"/>
        <v>4.1273584905660368E-2</v>
      </c>
      <c r="CB15">
        <f t="shared" si="12"/>
        <v>2.6114774433635825E-2</v>
      </c>
      <c r="CD15">
        <f t="shared" si="13"/>
        <v>1.6155500948072821E-2</v>
      </c>
      <c r="CE15">
        <f t="shared" si="14"/>
        <v>1.5064211200241026E-2</v>
      </c>
      <c r="CI15" s="42"/>
    </row>
    <row r="16" spans="1:88" x14ac:dyDescent="0.35">
      <c r="A16" s="18" t="s">
        <v>65</v>
      </c>
      <c r="B16" t="s">
        <v>66</v>
      </c>
      <c r="C16" s="19" t="s">
        <v>104</v>
      </c>
      <c r="D16" s="20" t="s">
        <v>118</v>
      </c>
      <c r="E16" s="21" t="s">
        <v>115</v>
      </c>
      <c r="F16" s="21" t="s">
        <v>112</v>
      </c>
      <c r="G16" s="22" t="s">
        <v>112</v>
      </c>
      <c r="H16" s="21">
        <v>43.305</v>
      </c>
      <c r="I16" s="21">
        <v>9.875</v>
      </c>
      <c r="J16" s="21">
        <v>7.7200000000000006</v>
      </c>
      <c r="K16" s="21">
        <v>3.6950000000000003</v>
      </c>
      <c r="L16" s="22">
        <v>9.0749999999999993</v>
      </c>
      <c r="M16" s="20">
        <v>1.2</v>
      </c>
      <c r="N16" s="21"/>
      <c r="O16" s="21"/>
      <c r="P16" s="21">
        <v>2.835</v>
      </c>
      <c r="Q16" s="21"/>
      <c r="R16" s="21">
        <v>0.52</v>
      </c>
      <c r="S16" s="21">
        <v>0.72</v>
      </c>
      <c r="T16" s="21">
        <v>0.69499999999999995</v>
      </c>
      <c r="U16" s="21">
        <v>1.6950000000000001</v>
      </c>
      <c r="V16" s="21">
        <v>1.9750000000000001</v>
      </c>
      <c r="W16" s="21">
        <v>5.29</v>
      </c>
      <c r="X16" s="21"/>
      <c r="Y16" s="21">
        <v>0.75</v>
      </c>
      <c r="Z16" s="21">
        <v>3.26</v>
      </c>
      <c r="AA16" s="21">
        <v>1.38</v>
      </c>
      <c r="AB16" s="21"/>
      <c r="AC16" s="21"/>
      <c r="AD16" s="21">
        <v>1.01</v>
      </c>
      <c r="AE16" s="21"/>
      <c r="AF16" s="21">
        <v>1.66</v>
      </c>
      <c r="AG16" s="21">
        <v>0.64</v>
      </c>
      <c r="AH16" s="21"/>
      <c r="AI16" s="21"/>
      <c r="AJ16" s="21"/>
      <c r="AK16" s="22"/>
      <c r="AL16" s="23">
        <v>6.0309999999999997</v>
      </c>
      <c r="AM16" s="17"/>
      <c r="AN16" s="17"/>
      <c r="AO16" s="17">
        <v>3.899</v>
      </c>
      <c r="AP16" s="17"/>
      <c r="AQ16" s="17">
        <v>2.698</v>
      </c>
      <c r="AR16" s="17">
        <v>3.69</v>
      </c>
      <c r="AS16" s="17">
        <v>2.819</v>
      </c>
      <c r="AT16" s="17">
        <v>11.288</v>
      </c>
      <c r="AU16" s="17">
        <v>7.508</v>
      </c>
      <c r="AV16" s="17">
        <v>7.5970000000000004</v>
      </c>
      <c r="AW16" s="17"/>
      <c r="AX16" s="17">
        <v>7.319</v>
      </c>
      <c r="AY16" s="17">
        <v>14.999000000000001</v>
      </c>
      <c r="AZ16" s="17">
        <v>3.2029999999999998</v>
      </c>
      <c r="BA16" s="17"/>
      <c r="BB16" s="17"/>
      <c r="BC16" s="17">
        <v>2.3889999999999998</v>
      </c>
      <c r="BD16" s="17"/>
      <c r="BE16" s="17">
        <v>5.2880000000000003</v>
      </c>
      <c r="BF16" s="17">
        <v>1.8979999999999999</v>
      </c>
      <c r="BG16" s="17"/>
      <c r="BH16" s="17"/>
      <c r="BI16" s="17"/>
      <c r="BJ16" s="17"/>
      <c r="BK16" s="41">
        <f t="shared" si="1"/>
        <v>1.8770941331422866E-3</v>
      </c>
      <c r="BN16">
        <f t="shared" si="2"/>
        <v>6.8595237288709724E-3</v>
      </c>
      <c r="BP16">
        <f t="shared" si="3"/>
        <v>1.8182581087318351E-3</v>
      </c>
      <c r="BQ16">
        <f t="shared" si="4"/>
        <v>1.8407731247123791E-3</v>
      </c>
      <c r="BR16">
        <f t="shared" si="5"/>
        <v>2.325861572750942E-3</v>
      </c>
      <c r="BS16">
        <f t="shared" si="6"/>
        <v>1.4165986922161453E-3</v>
      </c>
      <c r="BT16">
        <f t="shared" si="7"/>
        <v>2.4816296579246288E-3</v>
      </c>
      <c r="BU16">
        <f t="shared" si="8"/>
        <v>6.5691273367590487E-3</v>
      </c>
      <c r="BW16">
        <f t="shared" si="9"/>
        <v>9.66726560747808E-4</v>
      </c>
      <c r="BX16">
        <f t="shared" si="10"/>
        <v>2.0504511621529482E-3</v>
      </c>
      <c r="BY16">
        <f t="shared" si="11"/>
        <v>4.0645856773425847E-3</v>
      </c>
      <c r="CB16">
        <f t="shared" si="12"/>
        <v>3.9884059802396199E-3</v>
      </c>
      <c r="CD16">
        <f t="shared" si="13"/>
        <v>2.9614934490337676E-3</v>
      </c>
      <c r="CE16">
        <f t="shared" si="14"/>
        <v>3.1811042408095912E-3</v>
      </c>
      <c r="CI16" s="42"/>
      <c r="CJ16" s="17"/>
    </row>
    <row r="17" spans="1:88" x14ac:dyDescent="0.35">
      <c r="A17" s="18">
        <v>1016783</v>
      </c>
      <c r="B17" t="s">
        <v>56</v>
      </c>
      <c r="C17" s="19" t="s">
        <v>105</v>
      </c>
      <c r="D17" s="20" t="s">
        <v>118</v>
      </c>
      <c r="E17" s="21" t="s">
        <v>115</v>
      </c>
      <c r="F17" s="21" t="s">
        <v>112</v>
      </c>
      <c r="G17" s="22" t="s">
        <v>112</v>
      </c>
      <c r="H17" s="21">
        <v>42.620000000000005</v>
      </c>
      <c r="I17" s="21">
        <v>8.4</v>
      </c>
      <c r="J17" s="21">
        <v>7.67</v>
      </c>
      <c r="K17" s="21">
        <v>4.165</v>
      </c>
      <c r="L17" s="22">
        <v>8.995000000000001</v>
      </c>
      <c r="M17" s="20">
        <v>2.39</v>
      </c>
      <c r="N17" s="21">
        <v>1.25</v>
      </c>
      <c r="O17" s="21">
        <v>2.37</v>
      </c>
      <c r="P17" s="21"/>
      <c r="Q17" s="21"/>
      <c r="R17" s="21">
        <v>2.3199999999999998</v>
      </c>
      <c r="S17" s="21">
        <v>0.5</v>
      </c>
      <c r="T17" s="21">
        <v>0.04</v>
      </c>
      <c r="U17" s="21">
        <v>0.82</v>
      </c>
      <c r="V17" s="21">
        <v>0.38</v>
      </c>
      <c r="W17" s="21">
        <v>2.29</v>
      </c>
      <c r="X17" s="21"/>
      <c r="Y17" s="21">
        <v>0.48</v>
      </c>
      <c r="Z17" s="21">
        <v>5.12</v>
      </c>
      <c r="AA17" s="21">
        <v>4.5199999999999996</v>
      </c>
      <c r="AB17" s="21"/>
      <c r="AC17" s="21"/>
      <c r="AD17" s="21">
        <v>0.79</v>
      </c>
      <c r="AE17" s="21">
        <v>1.1000000000000001</v>
      </c>
      <c r="AF17" s="21">
        <v>1.86</v>
      </c>
      <c r="AG17" s="21">
        <v>0.33</v>
      </c>
      <c r="AH17" s="21"/>
      <c r="AI17" s="21"/>
      <c r="AJ17" s="21"/>
      <c r="AK17" s="22"/>
      <c r="AL17" s="23">
        <v>4.0209999999999999</v>
      </c>
      <c r="AM17" s="17">
        <v>2.1840000000000002</v>
      </c>
      <c r="AN17" s="17">
        <v>3.83</v>
      </c>
      <c r="AO17" s="17"/>
      <c r="AP17" s="17"/>
      <c r="AQ17" s="17">
        <v>2.5390000000000001</v>
      </c>
      <c r="AR17" s="17">
        <v>2.41</v>
      </c>
      <c r="AS17" s="17">
        <v>0.52900000000000003</v>
      </c>
      <c r="AT17" s="17">
        <v>5.0949999999999998</v>
      </c>
      <c r="AU17" s="17">
        <v>6.5650000000000004</v>
      </c>
      <c r="AV17" s="17">
        <v>5.0949999999999998</v>
      </c>
      <c r="AW17" s="17"/>
      <c r="AX17" s="17">
        <v>4.5</v>
      </c>
      <c r="AY17" s="17">
        <v>15.113</v>
      </c>
      <c r="AZ17" s="17">
        <v>2.1760000000000002</v>
      </c>
      <c r="BA17" s="17"/>
      <c r="BB17" s="17"/>
      <c r="BC17" s="17">
        <v>2.9860000000000002</v>
      </c>
      <c r="BD17" s="17">
        <v>2.3980000000000001</v>
      </c>
      <c r="BE17" s="17">
        <v>2.7469999999999999</v>
      </c>
      <c r="BF17" s="17">
        <v>1.1299999999999999</v>
      </c>
      <c r="BG17" s="17"/>
      <c r="BH17" s="17"/>
      <c r="BI17" s="17"/>
      <c r="BJ17" s="17"/>
      <c r="BK17" s="41">
        <f t="shared" si="1"/>
        <v>5.607353845143187E-3</v>
      </c>
      <c r="BL17">
        <f t="shared" si="15"/>
        <v>5.3994747390973792E-3</v>
      </c>
      <c r="BM17">
        <f t="shared" si="16"/>
        <v>5.8377259963545E-3</v>
      </c>
      <c r="BP17">
        <f t="shared" si="3"/>
        <v>8.6202412181292584E-3</v>
      </c>
      <c r="BQ17">
        <f t="shared" si="4"/>
        <v>1.9572535817740547E-3</v>
      </c>
      <c r="BR17">
        <f t="shared" si="5"/>
        <v>7.133430823554589E-4</v>
      </c>
      <c r="BS17">
        <f t="shared" si="6"/>
        <v>1.5183216990390135E-3</v>
      </c>
      <c r="BT17">
        <f t="shared" si="7"/>
        <v>5.4606331460431954E-4</v>
      </c>
      <c r="BU17">
        <f t="shared" si="8"/>
        <v>4.2401910863406602E-3</v>
      </c>
      <c r="BW17">
        <f t="shared" si="9"/>
        <v>1.0062893081761006E-3</v>
      </c>
      <c r="BX17">
        <f t="shared" si="10"/>
        <v>3.1960488845664548E-3</v>
      </c>
      <c r="BY17">
        <f t="shared" si="11"/>
        <v>1.9596281908990008E-2</v>
      </c>
      <c r="CB17">
        <f t="shared" si="12"/>
        <v>2.4959243766507848E-3</v>
      </c>
      <c r="CC17">
        <f t="shared" ref="CC17:CC31" si="21">((AE17*0.001)/1.06)/(BD17*0.1)</f>
        <v>4.3275056257573137E-3</v>
      </c>
      <c r="CD17">
        <f t="shared" si="13"/>
        <v>6.3877574850093755E-3</v>
      </c>
      <c r="CE17">
        <f t="shared" si="14"/>
        <v>2.7550509266989478E-3</v>
      </c>
      <c r="CI17" s="42"/>
      <c r="CJ17" s="17"/>
    </row>
    <row r="18" spans="1:88" x14ac:dyDescent="0.35">
      <c r="A18" s="18">
        <v>4</v>
      </c>
      <c r="B18" t="s">
        <v>56</v>
      </c>
      <c r="C18" s="19" t="s">
        <v>82</v>
      </c>
      <c r="D18" s="20" t="s">
        <v>118</v>
      </c>
      <c r="E18" s="21" t="s">
        <v>115</v>
      </c>
      <c r="F18" s="21" t="s">
        <v>112</v>
      </c>
      <c r="G18" s="22" t="s">
        <v>112</v>
      </c>
      <c r="H18" s="21">
        <v>34.945</v>
      </c>
      <c r="I18" s="21">
        <v>8.27</v>
      </c>
      <c r="J18" s="21">
        <v>5.7350000000000003</v>
      </c>
      <c r="K18" s="21">
        <v>3.0750000000000002</v>
      </c>
      <c r="L18" s="22">
        <v>8.02</v>
      </c>
      <c r="M18" s="20">
        <v>1.115</v>
      </c>
      <c r="N18" s="21"/>
      <c r="O18" s="21"/>
      <c r="P18" s="21">
        <v>1.01</v>
      </c>
      <c r="Q18" s="21">
        <v>1.55</v>
      </c>
      <c r="R18" s="21"/>
      <c r="S18" s="21"/>
      <c r="T18" s="21"/>
      <c r="U18" s="21">
        <v>0.48</v>
      </c>
      <c r="V18" s="21">
        <v>0.155</v>
      </c>
      <c r="W18" s="21">
        <v>1.1599999999999999</v>
      </c>
      <c r="X18" s="21"/>
      <c r="Y18" s="21">
        <v>0.16500000000000001</v>
      </c>
      <c r="Z18" s="21">
        <v>1.4850000000000001</v>
      </c>
      <c r="AA18" s="21">
        <v>1.41</v>
      </c>
      <c r="AB18" s="21"/>
      <c r="AC18" s="21"/>
      <c r="AD18" s="21">
        <v>0.6</v>
      </c>
      <c r="AE18" s="21"/>
      <c r="AF18" s="21">
        <v>0.77</v>
      </c>
      <c r="AG18" s="21">
        <v>0.22</v>
      </c>
      <c r="AH18" s="21"/>
      <c r="AI18" s="21"/>
      <c r="AJ18" s="21"/>
      <c r="AK18" s="22"/>
      <c r="AL18" s="23">
        <v>3.4740000000000002</v>
      </c>
      <c r="AM18" s="17"/>
      <c r="AN18" s="17"/>
      <c r="AO18" s="17">
        <v>2.7669999999999999</v>
      </c>
      <c r="AP18" s="17">
        <v>1.673</v>
      </c>
      <c r="AQ18" s="17"/>
      <c r="AR18" s="17"/>
      <c r="AS18" s="17"/>
      <c r="AT18" s="17">
        <v>4.476</v>
      </c>
      <c r="AU18" s="17">
        <v>4.6589999999999998</v>
      </c>
      <c r="AV18" s="17">
        <v>4.9349999999999996</v>
      </c>
      <c r="AW18" s="17"/>
      <c r="AX18" s="17">
        <v>4.3390000000000004</v>
      </c>
      <c r="AY18" s="17">
        <v>10.632</v>
      </c>
      <c r="AZ18" s="17">
        <v>1.698</v>
      </c>
      <c r="BA18" s="17"/>
      <c r="BB18" s="17"/>
      <c r="BC18" s="17">
        <v>1.363</v>
      </c>
      <c r="BD18" s="17"/>
      <c r="BE18" s="17">
        <v>2.9969999999999999</v>
      </c>
      <c r="BF18" s="17">
        <v>1.0960000000000001</v>
      </c>
      <c r="BG18" s="17"/>
      <c r="BH18" s="17"/>
      <c r="BI18" s="17"/>
      <c r="BJ18" s="17"/>
      <c r="BK18" s="41">
        <f t="shared" si="1"/>
        <v>3.0278836858170124E-3</v>
      </c>
      <c r="BN18">
        <f t="shared" si="2"/>
        <v>3.4435496518946344E-3</v>
      </c>
      <c r="BO18">
        <f t="shared" si="19"/>
        <v>8.7403714939832417E-3</v>
      </c>
      <c r="BS18">
        <f t="shared" si="6"/>
        <v>1.0116849613030503E-3</v>
      </c>
      <c r="BT18">
        <f t="shared" si="7"/>
        <v>3.1385794182086198E-4</v>
      </c>
      <c r="BU18">
        <f t="shared" si="8"/>
        <v>2.2175068341266655E-3</v>
      </c>
      <c r="BW18">
        <f t="shared" si="9"/>
        <v>3.5874712458744071E-4</v>
      </c>
      <c r="BX18">
        <f t="shared" si="10"/>
        <v>1.3176668512287577E-3</v>
      </c>
      <c r="BY18">
        <f t="shared" si="11"/>
        <v>7.8338555903726906E-3</v>
      </c>
      <c r="CB18">
        <f t="shared" si="12"/>
        <v>4.152881407549938E-3</v>
      </c>
      <c r="CD18">
        <f t="shared" si="13"/>
        <v>2.423807455253996E-3</v>
      </c>
      <c r="CE18">
        <f t="shared" si="14"/>
        <v>1.8936785566726342E-3</v>
      </c>
      <c r="CI18" s="42"/>
      <c r="CJ18" s="17"/>
    </row>
    <row r="19" spans="1:88" x14ac:dyDescent="0.35">
      <c r="A19" s="18" t="s">
        <v>87</v>
      </c>
      <c r="B19" t="s">
        <v>56</v>
      </c>
      <c r="C19" s="19" t="s">
        <v>88</v>
      </c>
      <c r="D19" s="20" t="s">
        <v>117</v>
      </c>
      <c r="E19" s="21" t="s">
        <v>115</v>
      </c>
      <c r="F19" s="21" t="s">
        <v>112</v>
      </c>
      <c r="G19" s="22" t="s">
        <v>112</v>
      </c>
      <c r="H19" s="21">
        <v>42.57</v>
      </c>
      <c r="I19" s="21">
        <v>10.245000000000001</v>
      </c>
      <c r="J19" s="21">
        <v>7.84</v>
      </c>
      <c r="K19" s="21">
        <v>3.84</v>
      </c>
      <c r="L19" s="22">
        <v>10.370000000000001</v>
      </c>
      <c r="M19" s="20">
        <v>1.62</v>
      </c>
      <c r="N19" s="21"/>
      <c r="O19" s="21"/>
      <c r="P19" s="21">
        <v>1.7</v>
      </c>
      <c r="Q19" s="21">
        <v>3.27</v>
      </c>
      <c r="R19" s="21"/>
      <c r="S19" s="21"/>
      <c r="T19" s="21">
        <v>0.01</v>
      </c>
      <c r="U19" s="21">
        <v>0.93</v>
      </c>
      <c r="V19" s="21">
        <v>0.95</v>
      </c>
      <c r="W19" s="21">
        <v>2.375</v>
      </c>
      <c r="X19" s="21"/>
      <c r="Y19" s="21">
        <v>0.66</v>
      </c>
      <c r="Z19" s="21">
        <v>4.3</v>
      </c>
      <c r="AA19" s="21">
        <v>3.88</v>
      </c>
      <c r="AB19" s="21"/>
      <c r="AC19" s="21"/>
      <c r="AD19" s="21">
        <v>1.01</v>
      </c>
      <c r="AE19" s="21"/>
      <c r="AF19" s="21">
        <v>1.92</v>
      </c>
      <c r="AG19" s="21">
        <v>0.42</v>
      </c>
      <c r="AH19" s="21"/>
      <c r="AI19" s="21"/>
      <c r="AJ19" s="21"/>
      <c r="AK19" s="22"/>
      <c r="AL19" s="23">
        <v>4.359</v>
      </c>
      <c r="AM19" s="17"/>
      <c r="AN19" s="17"/>
      <c r="AO19" s="17">
        <v>2.69</v>
      </c>
      <c r="AP19" s="17">
        <v>2.165</v>
      </c>
      <c r="AQ19" s="17"/>
      <c r="AR19" s="17"/>
      <c r="AS19" s="17">
        <v>1.5089999999999999</v>
      </c>
      <c r="AT19" s="17">
        <v>6.835</v>
      </c>
      <c r="AU19" s="17">
        <v>6.2850000000000001</v>
      </c>
      <c r="AV19" s="17">
        <v>6.0220000000000002</v>
      </c>
      <c r="AW19" s="17"/>
      <c r="AX19" s="17">
        <v>5.7690000000000001</v>
      </c>
      <c r="AY19" s="17">
        <v>16.295000000000002</v>
      </c>
      <c r="AZ19" s="17">
        <v>2.6</v>
      </c>
      <c r="BA19" s="17"/>
      <c r="BB19" s="17"/>
      <c r="BC19" s="17">
        <v>2.21</v>
      </c>
      <c r="BD19" s="17"/>
      <c r="BE19" s="17">
        <v>3.536</v>
      </c>
      <c r="BF19" s="17">
        <v>1.5860000000000001</v>
      </c>
      <c r="BG19" s="17"/>
      <c r="BH19" s="17"/>
      <c r="BI19" s="17"/>
      <c r="BJ19" s="17"/>
      <c r="BK19" s="41">
        <f t="shared" si="1"/>
        <v>3.5060837045020714E-3</v>
      </c>
      <c r="BN19">
        <f t="shared" si="2"/>
        <v>5.9619835870098883E-3</v>
      </c>
      <c r="BO19">
        <f t="shared" si="19"/>
        <v>1.4248986883960082E-2</v>
      </c>
      <c r="BR19">
        <f t="shared" si="5"/>
        <v>6.2517973917501277E-5</v>
      </c>
      <c r="BS19">
        <f t="shared" si="6"/>
        <v>1.283626174932023E-3</v>
      </c>
      <c r="BT19">
        <f t="shared" si="7"/>
        <v>1.425976794103961E-3</v>
      </c>
      <c r="BU19">
        <f t="shared" si="8"/>
        <v>3.7206344034138969E-3</v>
      </c>
      <c r="BW19">
        <f t="shared" si="9"/>
        <v>1.0792884545570498E-3</v>
      </c>
      <c r="BX19">
        <f t="shared" si="10"/>
        <v>2.4894776149646546E-3</v>
      </c>
      <c r="BY19">
        <f t="shared" si="11"/>
        <v>1.4078374455732944E-2</v>
      </c>
      <c r="CB19">
        <f t="shared" si="12"/>
        <v>4.3114488175531457E-3</v>
      </c>
      <c r="CD19">
        <f t="shared" si="13"/>
        <v>5.1225134465977974E-3</v>
      </c>
      <c r="CE19">
        <f t="shared" si="14"/>
        <v>2.498275000594827E-3</v>
      </c>
      <c r="CI19" s="42"/>
      <c r="CJ19" s="17"/>
    </row>
    <row r="20" spans="1:88" x14ac:dyDescent="0.35">
      <c r="A20" s="18" t="s">
        <v>83</v>
      </c>
      <c r="B20" t="s">
        <v>56</v>
      </c>
      <c r="C20" s="19" t="s">
        <v>84</v>
      </c>
      <c r="D20" s="20" t="s">
        <v>118</v>
      </c>
      <c r="E20" s="21" t="s">
        <v>115</v>
      </c>
      <c r="F20" s="21" t="s">
        <v>112</v>
      </c>
      <c r="G20" s="22" t="s">
        <v>112</v>
      </c>
      <c r="H20" s="21">
        <v>33.605000000000004</v>
      </c>
      <c r="I20" s="21">
        <v>9.59</v>
      </c>
      <c r="J20" s="21">
        <v>5.9450000000000003</v>
      </c>
      <c r="K20" s="21">
        <v>4.29</v>
      </c>
      <c r="L20" s="22">
        <v>7.7249999999999996</v>
      </c>
      <c r="M20" s="20">
        <v>1.35</v>
      </c>
      <c r="N20" s="21"/>
      <c r="O20" s="21"/>
      <c r="P20" s="21">
        <v>1.4850000000000001</v>
      </c>
      <c r="Q20" s="21">
        <v>1.55</v>
      </c>
      <c r="R20" s="21"/>
      <c r="S20" s="21"/>
      <c r="T20" s="21">
        <v>0.02</v>
      </c>
      <c r="U20" s="21">
        <v>1.2150000000000001</v>
      </c>
      <c r="V20" s="21">
        <v>0.25</v>
      </c>
      <c r="W20" s="21">
        <v>1.7949999999999999</v>
      </c>
      <c r="X20" s="21">
        <v>1.7849999999999999</v>
      </c>
      <c r="Y20" s="21"/>
      <c r="Z20" s="21"/>
      <c r="AA20" s="21">
        <v>0.42</v>
      </c>
      <c r="AB20" s="21"/>
      <c r="AC20" s="21"/>
      <c r="AD20" s="21">
        <v>0.33</v>
      </c>
      <c r="AE20" s="21"/>
      <c r="AF20" s="21">
        <v>1.01</v>
      </c>
      <c r="AG20" s="21">
        <v>0.08</v>
      </c>
      <c r="AH20" s="21"/>
      <c r="AI20" s="21"/>
      <c r="AJ20" s="21"/>
      <c r="AK20" s="22"/>
      <c r="AL20" s="23">
        <v>2.6920000000000002</v>
      </c>
      <c r="AM20" s="17"/>
      <c r="AN20" s="17"/>
      <c r="AO20" s="17">
        <v>2.177</v>
      </c>
      <c r="AP20" s="17">
        <v>2.0539999999999998</v>
      </c>
      <c r="AQ20" s="17"/>
      <c r="AR20" s="17"/>
      <c r="AS20" s="17">
        <v>0.746</v>
      </c>
      <c r="AT20" s="17">
        <v>2.0230000000000001</v>
      </c>
      <c r="AU20" s="17">
        <v>1.9139999999999999</v>
      </c>
      <c r="AV20" s="17">
        <v>4.1890000000000001</v>
      </c>
      <c r="AW20" s="17">
        <v>6.06</v>
      </c>
      <c r="AX20" s="17"/>
      <c r="AY20" s="17"/>
      <c r="AZ20" s="17">
        <v>1.8080000000000001</v>
      </c>
      <c r="BA20" s="17"/>
      <c r="BB20" s="17"/>
      <c r="BC20" s="17">
        <v>1.157</v>
      </c>
      <c r="BD20" s="17"/>
      <c r="BE20" s="17">
        <v>2.5630000000000002</v>
      </c>
      <c r="BF20" s="17">
        <v>1.1859999999999999</v>
      </c>
      <c r="BG20" s="17"/>
      <c r="BH20" s="17"/>
      <c r="BI20" s="17"/>
      <c r="BJ20" s="17"/>
      <c r="BK20" s="41">
        <f t="shared" si="1"/>
        <v>4.7309989066135847E-3</v>
      </c>
      <c r="BN20">
        <f t="shared" si="2"/>
        <v>6.4352016363179382E-3</v>
      </c>
      <c r="BO20">
        <f t="shared" si="19"/>
        <v>7.1191049218276353E-3</v>
      </c>
      <c r="BR20">
        <f t="shared" si="5"/>
        <v>2.5292124032576257E-4</v>
      </c>
      <c r="BS20">
        <f t="shared" si="6"/>
        <v>5.6659733815834874E-3</v>
      </c>
      <c r="BT20">
        <f t="shared" si="7"/>
        <v>1.2322312257250449E-3</v>
      </c>
      <c r="BU20">
        <f t="shared" si="8"/>
        <v>4.04248323326592E-3</v>
      </c>
      <c r="BV20">
        <f t="shared" si="20"/>
        <v>2.7788156174107974E-3</v>
      </c>
      <c r="BY20">
        <f t="shared" si="11"/>
        <v>2.1915177826014355E-3</v>
      </c>
      <c r="CB20">
        <f t="shared" si="12"/>
        <v>2.6907584677353593E-3</v>
      </c>
      <c r="CD20">
        <f t="shared" si="13"/>
        <v>3.7176363194664267E-3</v>
      </c>
      <c r="CE20">
        <f t="shared" si="14"/>
        <v>6.3635495879601643E-4</v>
      </c>
      <c r="CI20" s="42"/>
      <c r="CJ20" s="17"/>
    </row>
    <row r="21" spans="1:88" x14ac:dyDescent="0.35">
      <c r="A21" s="18"/>
      <c r="B21" t="s">
        <v>56</v>
      </c>
      <c r="C21" s="19" t="s">
        <v>101</v>
      </c>
      <c r="D21" s="20" t="s">
        <v>117</v>
      </c>
      <c r="E21" s="21" t="s">
        <v>113</v>
      </c>
      <c r="F21" s="21" t="s">
        <v>111</v>
      </c>
      <c r="G21" s="22" t="s">
        <v>112</v>
      </c>
      <c r="H21" s="21">
        <v>67.56</v>
      </c>
      <c r="I21" s="21">
        <v>11.6</v>
      </c>
      <c r="J21" s="21">
        <v>12.16</v>
      </c>
      <c r="K21" s="21">
        <v>7.62</v>
      </c>
      <c r="L21" s="22">
        <v>9.49</v>
      </c>
      <c r="M21" s="20">
        <v>24.8</v>
      </c>
      <c r="N21" s="21"/>
      <c r="O21" s="21"/>
      <c r="P21" s="21">
        <v>14.9</v>
      </c>
      <c r="Q21" s="21">
        <v>19.8</v>
      </c>
      <c r="R21" s="21"/>
      <c r="S21" s="21"/>
      <c r="T21" s="21">
        <v>0.3</v>
      </c>
      <c r="U21" s="21">
        <v>8</v>
      </c>
      <c r="V21" s="21">
        <v>1.9</v>
      </c>
      <c r="W21" s="21">
        <v>61.6</v>
      </c>
      <c r="X21" s="21"/>
      <c r="Y21" s="21">
        <v>7.8</v>
      </c>
      <c r="Z21" s="21">
        <v>62.5</v>
      </c>
      <c r="AA21" s="21">
        <v>33.5</v>
      </c>
      <c r="AB21" s="21"/>
      <c r="AC21" s="21"/>
      <c r="AD21" s="21">
        <v>13.299999999999999</v>
      </c>
      <c r="AE21" s="21"/>
      <c r="AF21" s="21">
        <v>17.8</v>
      </c>
      <c r="AG21" s="21">
        <v>2.7</v>
      </c>
      <c r="AH21" s="21"/>
      <c r="AI21" s="21"/>
      <c r="AJ21" s="21"/>
      <c r="AK21" s="22"/>
      <c r="AL21" s="23">
        <v>7.7309999999999999</v>
      </c>
      <c r="AM21" s="17"/>
      <c r="AN21" s="17"/>
      <c r="AO21" s="17">
        <v>5.3049999999999997</v>
      </c>
      <c r="AP21" s="17">
        <v>5.0999999999999996</v>
      </c>
      <c r="AQ21" s="17"/>
      <c r="AR21" s="17"/>
      <c r="AS21" s="17">
        <v>0.67200000000000004</v>
      </c>
      <c r="AT21" s="17">
        <v>15.132</v>
      </c>
      <c r="AU21" s="17">
        <v>7.1589999999999998</v>
      </c>
      <c r="AV21" s="17">
        <v>12.731999999999999</v>
      </c>
      <c r="AW21" s="17"/>
      <c r="AX21" s="17">
        <v>12.318</v>
      </c>
      <c r="AY21" s="17">
        <v>20.472999999999999</v>
      </c>
      <c r="AZ21" s="17">
        <v>4.8979999999999997</v>
      </c>
      <c r="BA21" s="17"/>
      <c r="BB21" s="17"/>
      <c r="BC21" s="17">
        <v>4.5789999999999997</v>
      </c>
      <c r="BD21" s="17"/>
      <c r="BE21" s="17">
        <v>5.8209999999999997</v>
      </c>
      <c r="BF21" s="17">
        <v>2.6309999999999998</v>
      </c>
      <c r="BK21" s="41">
        <f t="shared" si="1"/>
        <v>3.0262872092994879E-2</v>
      </c>
      <c r="BN21">
        <f t="shared" si="2"/>
        <v>2.6496896839933847E-2</v>
      </c>
      <c r="BO21">
        <f t="shared" si="19"/>
        <v>3.662597114317425E-2</v>
      </c>
      <c r="BR21">
        <f t="shared" si="5"/>
        <v>4.2115902964959557E-3</v>
      </c>
      <c r="BS21">
        <f t="shared" si="6"/>
        <v>4.9875560476610849E-3</v>
      </c>
      <c r="BT21">
        <f t="shared" si="7"/>
        <v>2.5037754297928191E-3</v>
      </c>
      <c r="BU21">
        <f t="shared" si="8"/>
        <v>4.5643424086686937E-2</v>
      </c>
      <c r="BW21">
        <f t="shared" si="9"/>
        <v>5.9737705520683032E-3</v>
      </c>
      <c r="BX21">
        <f t="shared" si="10"/>
        <v>2.880001179648483E-2</v>
      </c>
      <c r="BY21">
        <f t="shared" si="11"/>
        <v>6.4523833370570965E-2</v>
      </c>
      <c r="CB21">
        <f t="shared" si="12"/>
        <v>2.7401550144836764E-2</v>
      </c>
      <c r="CD21">
        <f t="shared" si="13"/>
        <v>2.8848055025233944E-2</v>
      </c>
      <c r="CE21">
        <f t="shared" si="14"/>
        <v>9.6813751855596916E-3</v>
      </c>
      <c r="CI21" s="42"/>
    </row>
    <row r="22" spans="1:88" x14ac:dyDescent="0.35">
      <c r="A22" s="18" t="s">
        <v>80</v>
      </c>
      <c r="B22" t="s">
        <v>78</v>
      </c>
      <c r="C22" s="19" t="s">
        <v>81</v>
      </c>
      <c r="D22" s="20" t="s">
        <v>119</v>
      </c>
      <c r="E22" s="21" t="s">
        <v>114</v>
      </c>
      <c r="F22" s="21" t="s">
        <v>111</v>
      </c>
      <c r="G22" s="22" t="s">
        <v>111</v>
      </c>
      <c r="H22" s="21">
        <v>63.929999999999993</v>
      </c>
      <c r="I22" s="21">
        <v>12.489999999999998</v>
      </c>
      <c r="J22" s="21">
        <v>8.5850000000000009</v>
      </c>
      <c r="K22" s="21">
        <v>4.3949999999999996</v>
      </c>
      <c r="L22" s="22">
        <v>11.095000000000001</v>
      </c>
      <c r="M22" s="20">
        <v>10.83</v>
      </c>
      <c r="N22" s="21"/>
      <c r="O22" s="21"/>
      <c r="P22" s="21">
        <v>14.32</v>
      </c>
      <c r="Q22" s="21">
        <v>5.26</v>
      </c>
      <c r="R22" s="21"/>
      <c r="S22" s="21"/>
      <c r="T22" s="21">
        <v>0.38500000000000001</v>
      </c>
      <c r="U22" s="21">
        <v>3.65</v>
      </c>
      <c r="V22" s="21">
        <v>2.9649999999999999</v>
      </c>
      <c r="W22" s="21">
        <v>7.5250000000000004</v>
      </c>
      <c r="X22" s="21"/>
      <c r="Y22" s="21">
        <v>0.63</v>
      </c>
      <c r="Z22" s="21">
        <v>5.72</v>
      </c>
      <c r="AA22" s="21">
        <v>9.67</v>
      </c>
      <c r="AB22" s="21"/>
      <c r="AC22" s="21"/>
      <c r="AD22" s="21">
        <v>3.08</v>
      </c>
      <c r="AE22" s="21"/>
      <c r="AF22" s="21">
        <v>7.56</v>
      </c>
      <c r="AG22" s="21">
        <v>0.6</v>
      </c>
      <c r="AH22" s="21"/>
      <c r="AI22" s="21"/>
      <c r="AJ22" s="21"/>
      <c r="AK22" s="22"/>
      <c r="AL22" s="23">
        <v>5.2229999999999999</v>
      </c>
      <c r="AM22" s="17"/>
      <c r="AN22" s="17"/>
      <c r="AO22" s="17">
        <v>3.0329999999999999</v>
      </c>
      <c r="AP22" s="17">
        <v>3.3290000000000002</v>
      </c>
      <c r="AQ22" s="17"/>
      <c r="AR22" s="17"/>
      <c r="AS22" s="17">
        <v>4.1740000000000004</v>
      </c>
      <c r="AT22" s="17">
        <v>7.9610000000000003</v>
      </c>
      <c r="AU22" s="17">
        <v>4.1420000000000003</v>
      </c>
      <c r="AV22" s="17">
        <v>8.4700000000000006</v>
      </c>
      <c r="AW22" s="17"/>
      <c r="AX22" s="17">
        <v>9.0129999999999999</v>
      </c>
      <c r="AY22" s="17">
        <v>22.446000000000002</v>
      </c>
      <c r="AZ22" s="17">
        <v>3.38</v>
      </c>
      <c r="BA22" s="17"/>
      <c r="BB22" s="17"/>
      <c r="BC22" s="17">
        <v>2.472</v>
      </c>
      <c r="BD22" s="17"/>
      <c r="BE22" s="17">
        <v>4.8040000000000003</v>
      </c>
      <c r="BF22" s="17">
        <v>1.615</v>
      </c>
      <c r="BG22" s="17"/>
      <c r="BH22" s="17"/>
      <c r="BI22" s="17"/>
      <c r="BJ22" s="17"/>
      <c r="BK22" s="41">
        <f t="shared" si="1"/>
        <v>1.9561518537383634E-2</v>
      </c>
      <c r="BN22">
        <f t="shared" si="2"/>
        <v>4.4541490149238874E-2</v>
      </c>
      <c r="BO22">
        <f t="shared" si="19"/>
        <v>1.4906170474446968E-2</v>
      </c>
      <c r="BR22">
        <f t="shared" si="5"/>
        <v>8.7016661995642389E-4</v>
      </c>
      <c r="BS22">
        <f t="shared" si="6"/>
        <v>4.3253312729746186E-3</v>
      </c>
      <c r="BT22">
        <f t="shared" si="7"/>
        <v>6.7531864107212795E-3</v>
      </c>
      <c r="BU22">
        <f t="shared" si="8"/>
        <v>8.3814127553407131E-3</v>
      </c>
      <c r="BW22">
        <f t="shared" si="9"/>
        <v>6.5942485592090255E-4</v>
      </c>
      <c r="BX22">
        <f t="shared" si="10"/>
        <v>2.4040926735696068E-3</v>
      </c>
      <c r="BY22">
        <f t="shared" si="11"/>
        <v>2.6990063637378582E-2</v>
      </c>
      <c r="CB22">
        <f t="shared" si="12"/>
        <v>1.1754289552421079E-2</v>
      </c>
      <c r="CD22">
        <f t="shared" si="13"/>
        <v>1.4846118800370758E-2</v>
      </c>
      <c r="CE22">
        <f t="shared" si="14"/>
        <v>3.5048776213563869E-3</v>
      </c>
      <c r="CI22" s="42"/>
      <c r="CJ22" s="17"/>
    </row>
    <row r="23" spans="1:88" x14ac:dyDescent="0.35">
      <c r="A23" s="18"/>
      <c r="B23" t="s">
        <v>56</v>
      </c>
      <c r="C23" s="19" t="s">
        <v>100</v>
      </c>
      <c r="D23" s="20" t="s">
        <v>118</v>
      </c>
      <c r="E23" s="21" t="s">
        <v>113</v>
      </c>
      <c r="F23" s="21" t="s">
        <v>111</v>
      </c>
      <c r="G23" s="22" t="s">
        <v>112</v>
      </c>
      <c r="H23" s="21">
        <v>66.77</v>
      </c>
      <c r="I23" s="21">
        <v>14.72</v>
      </c>
      <c r="J23" s="21">
        <v>13.78</v>
      </c>
      <c r="K23" s="21">
        <v>7.11</v>
      </c>
      <c r="L23" s="22">
        <v>14.34</v>
      </c>
      <c r="M23" s="20">
        <v>19</v>
      </c>
      <c r="N23" s="21"/>
      <c r="O23" s="21"/>
      <c r="P23" s="21">
        <v>28.400000000000002</v>
      </c>
      <c r="Q23" s="21">
        <v>16.400000000000002</v>
      </c>
      <c r="R23" s="21"/>
      <c r="S23" s="21"/>
      <c r="T23" s="21"/>
      <c r="U23" s="21">
        <v>5.7</v>
      </c>
      <c r="V23" s="21"/>
      <c r="W23" s="21">
        <v>2.2999999999999998</v>
      </c>
      <c r="X23" s="21"/>
      <c r="Y23" s="21">
        <v>2.7</v>
      </c>
      <c r="Z23" s="21">
        <v>13.799999999999999</v>
      </c>
      <c r="AA23" s="21">
        <v>9.7000000000000011</v>
      </c>
      <c r="AB23" s="21"/>
      <c r="AC23" s="21"/>
      <c r="AD23" s="21"/>
      <c r="AE23" s="21"/>
      <c r="AF23" s="21">
        <v>10.7</v>
      </c>
      <c r="AG23" s="21">
        <v>18.599999999999998</v>
      </c>
      <c r="AH23" s="21"/>
      <c r="AI23" s="21"/>
      <c r="AJ23" s="21"/>
      <c r="AK23" s="22"/>
      <c r="AL23" s="23">
        <v>4.8280000000000003</v>
      </c>
      <c r="AM23" s="17"/>
      <c r="AN23" s="17"/>
      <c r="AO23" s="17">
        <v>5.9850000000000003</v>
      </c>
      <c r="AP23" s="17">
        <v>3.3330000000000002</v>
      </c>
      <c r="AQ23" s="17"/>
      <c r="AR23" s="17"/>
      <c r="AS23" s="17"/>
      <c r="AT23" s="17">
        <v>11.968999999999999</v>
      </c>
      <c r="AU23" s="17"/>
      <c r="AV23" s="17">
        <v>10.529</v>
      </c>
      <c r="AW23" s="17"/>
      <c r="AX23" s="17">
        <v>7.7569999999999997</v>
      </c>
      <c r="AY23" s="17">
        <v>13.071</v>
      </c>
      <c r="AZ23" s="17">
        <v>3.79</v>
      </c>
      <c r="BA23" s="17"/>
      <c r="BB23" s="17"/>
      <c r="BC23" s="17"/>
      <c r="BD23" s="17"/>
      <c r="BE23" s="17">
        <v>3.9740000000000002</v>
      </c>
      <c r="BF23" s="17">
        <v>2.581</v>
      </c>
      <c r="BK23" s="41">
        <f t="shared" si="1"/>
        <v>3.7126197808381917E-2</v>
      </c>
      <c r="BN23">
        <f t="shared" si="2"/>
        <v>4.4766003057959365E-2</v>
      </c>
      <c r="BO23">
        <f t="shared" si="19"/>
        <v>4.6419736313253968E-2</v>
      </c>
      <c r="BS23">
        <f t="shared" si="6"/>
        <v>4.4927383161216788E-3</v>
      </c>
      <c r="BU23">
        <f t="shared" si="8"/>
        <v>2.0607952519277393E-3</v>
      </c>
      <c r="BW23">
        <f t="shared" si="9"/>
        <v>3.2837047973710899E-3</v>
      </c>
      <c r="BX23">
        <f t="shared" si="10"/>
        <v>9.9601162302259197E-3</v>
      </c>
      <c r="BY23">
        <f t="shared" si="11"/>
        <v>2.4144969383183158E-2</v>
      </c>
      <c r="CD23">
        <f t="shared" si="13"/>
        <v>2.5400955265831675E-2</v>
      </c>
      <c r="CE23">
        <f t="shared" si="14"/>
        <v>6.7985934952811897E-2</v>
      </c>
      <c r="CI23" s="42"/>
    </row>
    <row r="24" spans="1:88" x14ac:dyDescent="0.35">
      <c r="A24" s="18"/>
      <c r="B24" t="s">
        <v>67</v>
      </c>
      <c r="C24" s="19" t="s">
        <v>68</v>
      </c>
      <c r="D24" s="20" t="s">
        <v>116</v>
      </c>
      <c r="E24" s="21" t="s">
        <v>113</v>
      </c>
      <c r="F24" s="21" t="s">
        <v>111</v>
      </c>
      <c r="G24" s="22" t="s">
        <v>111</v>
      </c>
      <c r="H24" s="21">
        <v>129.51</v>
      </c>
      <c r="I24" s="21">
        <v>20.329999999999998</v>
      </c>
      <c r="J24" s="21">
        <v>10.9</v>
      </c>
      <c r="K24" s="21">
        <v>6.1899999999999995</v>
      </c>
      <c r="L24" s="22">
        <v>18.14</v>
      </c>
      <c r="M24" s="20"/>
      <c r="N24" s="21">
        <v>2.06</v>
      </c>
      <c r="O24" s="21">
        <v>16.670000000000002</v>
      </c>
      <c r="P24" s="21"/>
      <c r="Q24" s="21"/>
      <c r="R24" s="21">
        <v>6.39</v>
      </c>
      <c r="S24" s="21">
        <v>6.93</v>
      </c>
      <c r="T24" s="21">
        <v>0.56000000000000005</v>
      </c>
      <c r="U24" s="21">
        <v>2.78</v>
      </c>
      <c r="V24" s="21"/>
      <c r="W24" s="21">
        <v>1.54</v>
      </c>
      <c r="X24" s="21"/>
      <c r="Y24" s="21">
        <v>4.0599999999999996</v>
      </c>
      <c r="Z24" s="21">
        <v>22.24</v>
      </c>
      <c r="AA24" s="21">
        <v>19.899999999999999</v>
      </c>
      <c r="AB24" s="21"/>
      <c r="AC24" s="21"/>
      <c r="AD24" s="21">
        <v>1.37</v>
      </c>
      <c r="AE24" s="21"/>
      <c r="AF24" s="21">
        <v>16.27</v>
      </c>
      <c r="AG24" s="21">
        <v>0.48</v>
      </c>
      <c r="AH24" s="21"/>
      <c r="AI24" s="21"/>
      <c r="AJ24" s="21">
        <v>48.72</v>
      </c>
      <c r="AK24" s="22"/>
      <c r="AL24" s="23"/>
      <c r="AM24" s="17">
        <v>2.3620000000000001</v>
      </c>
      <c r="AN24" s="17">
        <v>5.54</v>
      </c>
      <c r="AO24" s="17"/>
      <c r="AP24" s="17"/>
      <c r="AQ24" s="17">
        <v>4.6040000000000001</v>
      </c>
      <c r="AR24" s="17">
        <v>5.16</v>
      </c>
      <c r="AS24" s="17">
        <v>2.613</v>
      </c>
      <c r="AT24" s="17">
        <v>10.532999999999999</v>
      </c>
      <c r="AU24" s="17"/>
      <c r="AV24" s="17">
        <v>2.4649999999999999</v>
      </c>
      <c r="AW24" s="17"/>
      <c r="AX24" s="17">
        <v>15.638999999999999</v>
      </c>
      <c r="AY24" s="17">
        <v>11.603</v>
      </c>
      <c r="AZ24" s="17">
        <v>4.7910000000000004</v>
      </c>
      <c r="BA24" s="17"/>
      <c r="BB24" s="17"/>
      <c r="BC24" s="17">
        <v>2.198</v>
      </c>
      <c r="BD24" s="17"/>
      <c r="BE24" s="17">
        <v>2.0379999999999998</v>
      </c>
      <c r="BF24" s="17">
        <v>1.8660000000000001</v>
      </c>
      <c r="BG24" s="17"/>
      <c r="BH24" s="17"/>
      <c r="BI24" s="17">
        <v>11.318</v>
      </c>
      <c r="BJ24" s="17"/>
      <c r="BK24" s="41"/>
      <c r="BL24">
        <f t="shared" si="15"/>
        <v>8.2277570974390105E-3</v>
      </c>
      <c r="BM24">
        <f t="shared" si="16"/>
        <v>2.8387030856208705E-2</v>
      </c>
      <c r="BP24">
        <f t="shared" si="3"/>
        <v>1.3093618346638688E-2</v>
      </c>
      <c r="BQ24">
        <f t="shared" si="4"/>
        <v>1.2670030715225974E-2</v>
      </c>
      <c r="BR24">
        <f t="shared" si="5"/>
        <v>2.0218212276787322E-3</v>
      </c>
      <c r="BS24">
        <f t="shared" si="6"/>
        <v>2.4899283294730489E-3</v>
      </c>
      <c r="BU24">
        <f t="shared" si="8"/>
        <v>5.8938344368326383E-3</v>
      </c>
      <c r="BW24">
        <f t="shared" si="9"/>
        <v>2.4491263375185641E-3</v>
      </c>
      <c r="BX24">
        <f t="shared" si="10"/>
        <v>1.8082506313429024E-2</v>
      </c>
      <c r="BY24">
        <f t="shared" si="11"/>
        <v>3.9185107296306344E-2</v>
      </c>
      <c r="CB24">
        <f t="shared" si="12"/>
        <v>5.880131165553591E-3</v>
      </c>
      <c r="CD24">
        <f t="shared" si="13"/>
        <v>7.5314311107819359E-2</v>
      </c>
      <c r="CE24">
        <f t="shared" si="14"/>
        <v>2.4267427046047439E-3</v>
      </c>
      <c r="CH24">
        <f t="shared" si="18"/>
        <v>4.0609881737889555E-2</v>
      </c>
      <c r="CI24" s="42"/>
      <c r="CJ24" s="17"/>
    </row>
    <row r="25" spans="1:88" x14ac:dyDescent="0.35">
      <c r="A25" s="18">
        <v>1016692</v>
      </c>
      <c r="B25" t="s">
        <v>56</v>
      </c>
      <c r="C25" s="19" t="s">
        <v>60</v>
      </c>
      <c r="D25" s="20" t="s">
        <v>120</v>
      </c>
      <c r="E25" s="21" t="s">
        <v>114</v>
      </c>
      <c r="F25" s="21" t="s">
        <v>111</v>
      </c>
      <c r="G25" s="22" t="s">
        <v>111</v>
      </c>
      <c r="H25" s="21">
        <v>55.234999999999999</v>
      </c>
      <c r="I25" s="21">
        <v>13.92</v>
      </c>
      <c r="J25" s="21">
        <v>10.24</v>
      </c>
      <c r="K25" s="21">
        <v>4.8599999999999994</v>
      </c>
      <c r="L25" s="22">
        <v>11.63</v>
      </c>
      <c r="M25" s="20">
        <v>3.8</v>
      </c>
      <c r="N25" s="21"/>
      <c r="O25" s="21"/>
      <c r="P25" s="21">
        <v>5.8</v>
      </c>
      <c r="Q25" s="21"/>
      <c r="R25" s="21">
        <v>3.45</v>
      </c>
      <c r="S25" s="21">
        <v>0.05</v>
      </c>
      <c r="T25" s="21">
        <v>0.02</v>
      </c>
      <c r="U25" s="21"/>
      <c r="V25" s="21">
        <v>0.5</v>
      </c>
      <c r="W25" s="21">
        <v>3.48</v>
      </c>
      <c r="X25" s="21">
        <v>3.56</v>
      </c>
      <c r="Y25" s="21"/>
      <c r="Z25" s="21"/>
      <c r="AA25" s="21">
        <v>5.47</v>
      </c>
      <c r="AB25" s="21"/>
      <c r="AC25" s="21"/>
      <c r="AD25" s="21">
        <v>2.5099999999999998</v>
      </c>
      <c r="AE25" s="21"/>
      <c r="AF25" s="21">
        <v>4.29</v>
      </c>
      <c r="AG25" s="21">
        <v>0.75</v>
      </c>
      <c r="AH25" s="21"/>
      <c r="AI25" s="21"/>
      <c r="AJ25" s="21"/>
      <c r="AK25" s="22"/>
      <c r="AL25" s="23">
        <v>3.754</v>
      </c>
      <c r="AM25" s="17"/>
      <c r="AN25" s="17"/>
      <c r="AO25" s="17">
        <v>5.851</v>
      </c>
      <c r="AP25" s="17"/>
      <c r="AQ25" s="17">
        <v>2.4790000000000001</v>
      </c>
      <c r="AR25" s="17">
        <v>1.849</v>
      </c>
      <c r="AS25" s="17">
        <v>2.29</v>
      </c>
      <c r="AT25" s="17"/>
      <c r="AU25" s="17">
        <v>4.7859999999999996</v>
      </c>
      <c r="AV25" s="17">
        <v>6.8780000000000001</v>
      </c>
      <c r="AW25" s="17">
        <v>14.563000000000001</v>
      </c>
      <c r="AX25" s="17"/>
      <c r="AY25" s="17"/>
      <c r="AZ25" s="17">
        <v>2.2509999999999999</v>
      </c>
      <c r="BA25" s="17"/>
      <c r="BB25" s="17"/>
      <c r="BC25" s="17">
        <v>2.609</v>
      </c>
      <c r="BD25" s="17"/>
      <c r="BE25" s="17">
        <v>4.9740000000000002</v>
      </c>
      <c r="BF25" s="17">
        <v>2.0219999999999998</v>
      </c>
      <c r="BG25" s="17"/>
      <c r="BH25" s="17"/>
      <c r="BI25" s="17"/>
      <c r="BJ25" s="17"/>
      <c r="BK25" s="41">
        <f t="shared" si="1"/>
        <v>9.5495622279631286E-3</v>
      </c>
      <c r="BN25">
        <f t="shared" si="2"/>
        <v>9.3517315214622209E-3</v>
      </c>
      <c r="BP25">
        <f t="shared" si="3"/>
        <v>1.3129152808116482E-2</v>
      </c>
      <c r="BQ25">
        <f t="shared" si="4"/>
        <v>2.5510985030153984E-4</v>
      </c>
      <c r="BR25">
        <f t="shared" si="5"/>
        <v>8.2392683529702558E-5</v>
      </c>
      <c r="BT25">
        <f t="shared" si="7"/>
        <v>9.8557900795559375E-4</v>
      </c>
      <c r="BU25">
        <f t="shared" si="8"/>
        <v>4.773217313062704E-3</v>
      </c>
      <c r="BV25">
        <f t="shared" si="20"/>
        <v>2.3061804340024279E-3</v>
      </c>
      <c r="BY25">
        <f t="shared" si="11"/>
        <v>2.292482167254805E-2</v>
      </c>
      <c r="CB25">
        <f t="shared" si="12"/>
        <v>9.0759851602218704E-3</v>
      </c>
      <c r="CD25">
        <f t="shared" si="13"/>
        <v>8.1366502037007529E-3</v>
      </c>
      <c r="CE25">
        <f t="shared" si="14"/>
        <v>3.4992441632607355E-3</v>
      </c>
      <c r="CI25" s="42"/>
      <c r="CJ25" s="17"/>
    </row>
    <row r="26" spans="1:88" x14ac:dyDescent="0.35">
      <c r="A26" s="18" t="s">
        <v>58</v>
      </c>
      <c r="B26" t="s">
        <v>56</v>
      </c>
      <c r="C26" s="19" t="s">
        <v>59</v>
      </c>
      <c r="D26" s="20" t="s">
        <v>120</v>
      </c>
      <c r="E26" s="21" t="s">
        <v>114</v>
      </c>
      <c r="F26" s="21" t="s">
        <v>112</v>
      </c>
      <c r="G26" s="22" t="s">
        <v>112</v>
      </c>
      <c r="H26" s="21">
        <v>89.78</v>
      </c>
      <c r="I26" s="21">
        <v>24.25</v>
      </c>
      <c r="J26" s="21">
        <v>19.649999999999999</v>
      </c>
      <c r="K26" s="21">
        <v>10.79</v>
      </c>
      <c r="L26" s="22">
        <v>16.920000000000002</v>
      </c>
      <c r="M26" s="20">
        <v>30.5</v>
      </c>
      <c r="N26" s="21">
        <v>31.8</v>
      </c>
      <c r="O26" s="21">
        <v>14.64</v>
      </c>
      <c r="P26" s="21"/>
      <c r="Q26" s="21"/>
      <c r="R26" s="21">
        <v>18.8</v>
      </c>
      <c r="S26" s="21">
        <v>9.5</v>
      </c>
      <c r="T26" s="21">
        <v>1.61</v>
      </c>
      <c r="U26" s="21">
        <v>12.8</v>
      </c>
      <c r="V26" s="21">
        <v>10.199999999999999</v>
      </c>
      <c r="W26" s="21">
        <v>8.42</v>
      </c>
      <c r="X26" s="21"/>
      <c r="Y26" s="21">
        <v>4.3</v>
      </c>
      <c r="Z26" s="21">
        <v>27.32</v>
      </c>
      <c r="AA26" s="21">
        <v>33.17</v>
      </c>
      <c r="AB26" s="21"/>
      <c r="AC26" s="21"/>
      <c r="AD26" s="21">
        <v>14.58</v>
      </c>
      <c r="AE26" s="21"/>
      <c r="AF26" s="21">
        <v>34.770000000000003</v>
      </c>
      <c r="AG26" s="21">
        <v>4.34</v>
      </c>
      <c r="AH26" s="21"/>
      <c r="AI26" s="21"/>
      <c r="AJ26" s="21"/>
      <c r="AK26" s="22"/>
      <c r="AL26" s="23">
        <v>7.3029999999999999</v>
      </c>
      <c r="AM26" s="17">
        <v>4.8040000000000003</v>
      </c>
      <c r="AN26" s="17">
        <v>14.042999999999999</v>
      </c>
      <c r="AO26" s="17"/>
      <c r="AP26" s="17"/>
      <c r="AQ26" s="17">
        <v>4.1779999999999999</v>
      </c>
      <c r="AR26" s="17">
        <v>4.577</v>
      </c>
      <c r="AS26" s="17">
        <v>2.2930000000000001</v>
      </c>
      <c r="AT26" s="17">
        <v>10.411</v>
      </c>
      <c r="AU26" s="17">
        <v>6.6269999999999998</v>
      </c>
      <c r="AV26" s="17">
        <v>8.8190000000000008</v>
      </c>
      <c r="AW26" s="17"/>
      <c r="AX26" s="17">
        <v>9.2260000000000009</v>
      </c>
      <c r="AY26" s="17">
        <v>27.763000000000002</v>
      </c>
      <c r="AZ26" s="17">
        <v>3.544</v>
      </c>
      <c r="BA26" s="17"/>
      <c r="BB26" s="17"/>
      <c r="BC26" s="17">
        <v>3.6589999999999998</v>
      </c>
      <c r="BD26" s="17"/>
      <c r="BE26" s="17">
        <v>7.7610000000000001</v>
      </c>
      <c r="BF26" s="17">
        <v>3.1</v>
      </c>
      <c r="BG26" s="17"/>
      <c r="BH26" s="17"/>
      <c r="BI26" s="17"/>
      <c r="BJ26" s="17"/>
      <c r="BK26" s="41">
        <f t="shared" si="1"/>
        <v>3.9399678085253145E-2</v>
      </c>
      <c r="BL26">
        <f t="shared" si="15"/>
        <v>6.244796003330557E-2</v>
      </c>
      <c r="BM26">
        <f t="shared" si="16"/>
        <v>9.835021544340225E-3</v>
      </c>
      <c r="BP26">
        <f t="shared" si="3"/>
        <v>4.2450572179520758E-2</v>
      </c>
      <c r="BQ26">
        <f t="shared" si="4"/>
        <v>1.9581088378727105E-2</v>
      </c>
      <c r="BR26">
        <f t="shared" si="5"/>
        <v>6.6239333821556988E-3</v>
      </c>
      <c r="BS26">
        <f t="shared" si="6"/>
        <v>1.1598762557019698E-2</v>
      </c>
      <c r="BT26">
        <f t="shared" si="7"/>
        <v>1.4520358396610774E-2</v>
      </c>
      <c r="BU26">
        <f t="shared" si="8"/>
        <v>9.0071393881563603E-3</v>
      </c>
      <c r="BW26">
        <f t="shared" si="9"/>
        <v>4.3969258330640634E-3</v>
      </c>
      <c r="BX26">
        <f t="shared" si="10"/>
        <v>9.2834293504521735E-3</v>
      </c>
      <c r="BY26">
        <f t="shared" si="11"/>
        <v>8.8296988798500772E-2</v>
      </c>
      <c r="CB26">
        <f t="shared" si="12"/>
        <v>3.7591464829549261E-2</v>
      </c>
      <c r="CD26">
        <f t="shared" si="13"/>
        <v>4.2265026146698657E-2</v>
      </c>
      <c r="CE26">
        <f t="shared" si="14"/>
        <v>1.3207547169811318E-2</v>
      </c>
      <c r="CI26" s="42"/>
      <c r="CJ26" s="17"/>
    </row>
    <row r="27" spans="1:88" x14ac:dyDescent="0.35">
      <c r="A27" s="18" t="s">
        <v>98</v>
      </c>
      <c r="B27" t="s">
        <v>56</v>
      </c>
      <c r="C27" s="19" t="s">
        <v>106</v>
      </c>
      <c r="D27" s="20" t="s">
        <v>120</v>
      </c>
      <c r="E27" s="21" t="s">
        <v>114</v>
      </c>
      <c r="F27" s="21" t="s">
        <v>112</v>
      </c>
      <c r="G27" s="22" t="s">
        <v>112</v>
      </c>
      <c r="H27" s="21">
        <v>62.23</v>
      </c>
      <c r="I27" s="21">
        <v>12.78</v>
      </c>
      <c r="J27" s="21">
        <v>12.56</v>
      </c>
      <c r="K27" s="21">
        <v>5.87</v>
      </c>
      <c r="L27" s="22">
        <v>12.69</v>
      </c>
      <c r="M27" s="20">
        <v>6.8</v>
      </c>
      <c r="N27" s="21">
        <v>10.6</v>
      </c>
      <c r="O27" s="21">
        <v>6.8999999999999995</v>
      </c>
      <c r="P27" s="21"/>
      <c r="Q27" s="21"/>
      <c r="R27" s="21">
        <v>6.3</v>
      </c>
      <c r="S27" s="21">
        <v>4</v>
      </c>
      <c r="T27" s="21">
        <v>0.5</v>
      </c>
      <c r="U27" s="21">
        <v>4.8</v>
      </c>
      <c r="V27" s="21">
        <v>3.6</v>
      </c>
      <c r="W27" s="21">
        <v>5.7</v>
      </c>
      <c r="X27" s="21"/>
      <c r="Y27" s="21">
        <v>1.8</v>
      </c>
      <c r="Z27" s="21">
        <v>5.4</v>
      </c>
      <c r="AA27" s="21">
        <v>9.7999999999999989</v>
      </c>
      <c r="AB27" s="21"/>
      <c r="AC27" s="21"/>
      <c r="AD27" s="21">
        <v>4.7</v>
      </c>
      <c r="AE27" s="21"/>
      <c r="AF27" s="21">
        <v>7.2</v>
      </c>
      <c r="AG27" s="21">
        <v>1.2</v>
      </c>
      <c r="AH27" s="21"/>
      <c r="AI27" s="21"/>
      <c r="AJ27" s="21"/>
      <c r="AK27" s="22"/>
      <c r="AL27" s="23">
        <v>7.1070000000000002</v>
      </c>
      <c r="AM27" s="17">
        <v>3.157</v>
      </c>
      <c r="AN27" s="17">
        <v>4.4950000000000001</v>
      </c>
      <c r="AO27" s="17"/>
      <c r="AP27" s="17"/>
      <c r="AQ27" s="17">
        <v>3.5539999999999998</v>
      </c>
      <c r="AR27" s="17">
        <v>4.3769999999999998</v>
      </c>
      <c r="AS27" s="17">
        <v>2.0129999999999999</v>
      </c>
      <c r="AT27" s="17">
        <v>11.409000000000001</v>
      </c>
      <c r="AU27" s="17">
        <v>8.766</v>
      </c>
      <c r="AV27" s="17">
        <v>9.1780000000000008</v>
      </c>
      <c r="AW27" s="17"/>
      <c r="AX27" s="17">
        <v>8.35</v>
      </c>
      <c r="AY27" s="17">
        <v>8.8209999999999997</v>
      </c>
      <c r="AZ27" s="17">
        <v>3.181</v>
      </c>
      <c r="BA27" s="17"/>
      <c r="BB27" s="17"/>
      <c r="BC27" s="17">
        <v>3.891</v>
      </c>
      <c r="BD27" s="17"/>
      <c r="BE27" s="17">
        <v>5.3079999999999998</v>
      </c>
      <c r="BF27" s="17">
        <v>2.609</v>
      </c>
      <c r="BK27" s="41">
        <f t="shared" si="1"/>
        <v>9.0264448285108188E-3</v>
      </c>
      <c r="BL27">
        <f t="shared" si="15"/>
        <v>3.1675641431738989E-2</v>
      </c>
      <c r="BM27">
        <f t="shared" si="16"/>
        <v>1.4481499359875751E-2</v>
      </c>
      <c r="BP27">
        <f t="shared" si="3"/>
        <v>1.6723118251027277E-2</v>
      </c>
      <c r="BQ27">
        <f t="shared" si="4"/>
        <v>8.6213957177527483E-3</v>
      </c>
      <c r="BR27">
        <f t="shared" si="5"/>
        <v>2.3432593800672983E-3</v>
      </c>
      <c r="BS27">
        <f t="shared" si="6"/>
        <v>3.9690611681939278E-3</v>
      </c>
      <c r="BT27">
        <f t="shared" si="7"/>
        <v>3.8743171516020299E-3</v>
      </c>
      <c r="BU27">
        <f t="shared" si="8"/>
        <v>5.8589654506058363E-3</v>
      </c>
      <c r="BW27">
        <f t="shared" si="9"/>
        <v>2.033668512032539E-3</v>
      </c>
      <c r="BX27">
        <f t="shared" si="10"/>
        <v>5.7752404745964282E-3</v>
      </c>
      <c r="BY27">
        <f t="shared" si="11"/>
        <v>2.9064077393486085E-2</v>
      </c>
      <c r="CB27">
        <f t="shared" si="12"/>
        <v>1.1395431159472997E-2</v>
      </c>
      <c r="CD27">
        <f t="shared" si="13"/>
        <v>1.2796633063656139E-2</v>
      </c>
      <c r="CE27">
        <f t="shared" si="14"/>
        <v>4.3391164112614525E-3</v>
      </c>
      <c r="CI27" s="42"/>
    </row>
    <row r="28" spans="1:88" x14ac:dyDescent="0.35">
      <c r="A28" s="18"/>
      <c r="B28" t="s">
        <v>63</v>
      </c>
      <c r="C28" s="19" t="s">
        <v>64</v>
      </c>
      <c r="D28" s="20" t="s">
        <v>116</v>
      </c>
      <c r="E28" s="21" t="s">
        <v>113</v>
      </c>
      <c r="F28" s="21" t="s">
        <v>111</v>
      </c>
      <c r="G28" s="22" t="s">
        <v>111</v>
      </c>
      <c r="H28" s="21">
        <v>40.06</v>
      </c>
      <c r="I28" s="21">
        <v>9.3049999999999997</v>
      </c>
      <c r="J28" s="21">
        <v>5.5350000000000001</v>
      </c>
      <c r="K28" s="21">
        <v>3.5249999999999999</v>
      </c>
      <c r="L28" s="22">
        <v>7.74</v>
      </c>
      <c r="M28" s="20"/>
      <c r="N28" s="21"/>
      <c r="O28" s="21"/>
      <c r="P28" s="21">
        <v>1.43</v>
      </c>
      <c r="Q28" s="21">
        <v>1.51</v>
      </c>
      <c r="R28" s="21"/>
      <c r="S28" s="21"/>
      <c r="T28" s="21"/>
      <c r="U28" s="21">
        <v>0.45</v>
      </c>
      <c r="V28" s="21"/>
      <c r="W28" s="21">
        <v>1</v>
      </c>
      <c r="X28" s="21">
        <v>1.92</v>
      </c>
      <c r="Y28" s="21"/>
      <c r="Z28" s="21"/>
      <c r="AA28" s="21"/>
      <c r="AB28" s="21">
        <v>1.31</v>
      </c>
      <c r="AC28" s="21">
        <v>0.62</v>
      </c>
      <c r="AD28" s="21">
        <v>0.21</v>
      </c>
      <c r="AE28" s="21"/>
      <c r="AF28" s="21">
        <v>0.3</v>
      </c>
      <c r="AG28" s="21">
        <v>0.48</v>
      </c>
      <c r="AH28" s="21">
        <v>0.43</v>
      </c>
      <c r="AI28" s="21"/>
      <c r="AJ28" s="21">
        <v>0.99</v>
      </c>
      <c r="AK28" s="22"/>
      <c r="AL28" s="23"/>
      <c r="AM28" s="17"/>
      <c r="AN28" s="17"/>
      <c r="AO28" s="17">
        <v>2.4239999999999999</v>
      </c>
      <c r="AP28" s="17">
        <v>3.5990000000000002</v>
      </c>
      <c r="AQ28" s="17"/>
      <c r="AR28" s="17"/>
      <c r="AS28" s="17"/>
      <c r="AT28" s="17">
        <v>5.1269999999999998</v>
      </c>
      <c r="AU28" s="17"/>
      <c r="AV28" s="17">
        <v>4.415</v>
      </c>
      <c r="AW28" s="17">
        <v>8.9280000000000008</v>
      </c>
      <c r="AX28" s="17"/>
      <c r="AY28" s="17"/>
      <c r="AZ28" s="17"/>
      <c r="BA28" s="17">
        <v>4.1360000000000001</v>
      </c>
      <c r="BB28" s="17">
        <v>4.024</v>
      </c>
      <c r="BC28" s="17">
        <v>2.7730000000000001</v>
      </c>
      <c r="BD28" s="17"/>
      <c r="BE28" s="17">
        <v>2.3050000000000002</v>
      </c>
      <c r="BF28" s="17">
        <v>1.4279999999999999</v>
      </c>
      <c r="BG28" s="17">
        <v>2.63</v>
      </c>
      <c r="BH28" s="17"/>
      <c r="BI28" s="17">
        <v>5.4889999999999999</v>
      </c>
      <c r="BJ28" s="17"/>
      <c r="BK28" s="41"/>
      <c r="BN28">
        <f t="shared" si="2"/>
        <v>5.5654150320692446E-3</v>
      </c>
      <c r="BO28">
        <f t="shared" si="19"/>
        <v>3.9581225392797785E-3</v>
      </c>
      <c r="BS28">
        <f t="shared" si="6"/>
        <v>8.2802477450125297E-4</v>
      </c>
      <c r="BU28">
        <f t="shared" si="8"/>
        <v>2.1367977948246759E-3</v>
      </c>
      <c r="BV28">
        <f t="shared" si="20"/>
        <v>2.0288090890647186E-3</v>
      </c>
      <c r="BZ28">
        <f t="shared" ref="BZ28:BZ29" si="22">((AB28*0.001)/1.06)/(BA28*0.1)</f>
        <v>2.9880296339549655E-3</v>
      </c>
      <c r="CA28">
        <f t="shared" ref="CA28:CA29" si="23">((AC28*0.001)/1.06)/(BB28*0.1)</f>
        <v>1.4535428935819044E-3</v>
      </c>
      <c r="CB28">
        <f t="shared" si="12"/>
        <v>7.1443637773952319E-4</v>
      </c>
      <c r="CD28">
        <f t="shared" si="13"/>
        <v>1.2278475831866734E-3</v>
      </c>
      <c r="CE28">
        <f t="shared" si="14"/>
        <v>3.1710797526557791E-3</v>
      </c>
      <c r="CF28">
        <f t="shared" ref="CF28:CF29" si="24">((AH28*0.001)/1.06)/(BG28*0.1)</f>
        <v>1.5424348948992036E-3</v>
      </c>
      <c r="CH28">
        <f t="shared" si="18"/>
        <v>1.7015162400272239E-3</v>
      </c>
      <c r="CI28" s="42"/>
      <c r="CJ28" s="17"/>
    </row>
    <row r="29" spans="1:88" x14ac:dyDescent="0.35">
      <c r="A29" s="18" t="s">
        <v>91</v>
      </c>
      <c r="B29" t="s">
        <v>63</v>
      </c>
      <c r="C29" s="19" t="s">
        <v>92</v>
      </c>
      <c r="D29" s="20" t="s">
        <v>116</v>
      </c>
      <c r="E29" s="21" t="s">
        <v>113</v>
      </c>
      <c r="F29" s="21" t="s">
        <v>111</v>
      </c>
      <c r="G29" s="22" t="s">
        <v>111</v>
      </c>
      <c r="H29" s="21">
        <v>292.37</v>
      </c>
      <c r="I29" s="21">
        <v>29.71</v>
      </c>
      <c r="J29" s="21">
        <v>24.22</v>
      </c>
      <c r="K29" s="21">
        <v>16.899999999999999</v>
      </c>
      <c r="L29" s="22">
        <v>26.12</v>
      </c>
      <c r="M29" s="20"/>
      <c r="N29" s="21">
        <v>56.99</v>
      </c>
      <c r="O29" s="21">
        <v>119.89</v>
      </c>
      <c r="P29" s="21"/>
      <c r="Q29" s="21">
        <v>275.7</v>
      </c>
      <c r="R29" s="21"/>
      <c r="S29" s="21"/>
      <c r="T29" s="21"/>
      <c r="U29" s="21">
        <v>71.540000000000006</v>
      </c>
      <c r="V29" s="21"/>
      <c r="W29" s="21">
        <v>75.510000000000005</v>
      </c>
      <c r="X29" s="21">
        <v>1398.41</v>
      </c>
      <c r="Y29" s="21"/>
      <c r="Z29" s="21"/>
      <c r="AA29" s="21"/>
      <c r="AB29" s="21">
        <v>155.91</v>
      </c>
      <c r="AC29" s="21">
        <v>65.05</v>
      </c>
      <c r="AD29" s="21">
        <v>68.69</v>
      </c>
      <c r="AE29" s="21">
        <v>35.409999999999997</v>
      </c>
      <c r="AF29" s="21">
        <v>197.2</v>
      </c>
      <c r="AG29" s="21">
        <v>8.64</v>
      </c>
      <c r="AH29" s="21">
        <v>83.04</v>
      </c>
      <c r="AI29" s="21"/>
      <c r="AJ29" s="21">
        <v>269.5</v>
      </c>
      <c r="AK29" s="22">
        <v>111.46</v>
      </c>
      <c r="AL29" s="23"/>
      <c r="AM29" s="17">
        <v>5.1210000000000004</v>
      </c>
      <c r="AN29" s="17">
        <v>10.092000000000001</v>
      </c>
      <c r="AO29" s="17"/>
      <c r="AP29" s="17">
        <v>6.9960000000000004</v>
      </c>
      <c r="AQ29" s="17"/>
      <c r="AR29" s="17"/>
      <c r="AS29" s="17"/>
      <c r="AT29" s="17">
        <v>17.359000000000002</v>
      </c>
      <c r="AU29" s="17"/>
      <c r="AV29" s="17">
        <v>6.43</v>
      </c>
      <c r="AW29" s="17">
        <v>40.110999999999997</v>
      </c>
      <c r="AX29" s="17"/>
      <c r="AY29" s="17"/>
      <c r="AZ29" s="17"/>
      <c r="BA29" s="17">
        <v>6.62</v>
      </c>
      <c r="BB29" s="17">
        <v>4.1210000000000004</v>
      </c>
      <c r="BC29" s="17">
        <v>3.4649999999999999</v>
      </c>
      <c r="BD29" s="17">
        <v>4.056</v>
      </c>
      <c r="BE29" s="17">
        <v>6.3280000000000003</v>
      </c>
      <c r="BF29" s="17">
        <v>2.8050000000000002</v>
      </c>
      <c r="BG29" s="17">
        <v>4.2839999999999998</v>
      </c>
      <c r="BH29" s="17"/>
      <c r="BI29" s="17">
        <v>16.024999999999999</v>
      </c>
      <c r="BJ29" s="17">
        <v>9.2319999999999993</v>
      </c>
      <c r="BK29" s="41"/>
      <c r="BL29">
        <f t="shared" si="15"/>
        <v>0.10498760192032067</v>
      </c>
      <c r="BM29">
        <f t="shared" si="16"/>
        <v>0.11207270470165046</v>
      </c>
      <c r="BO29">
        <f t="shared" si="19"/>
        <v>0.37177578562413016</v>
      </c>
      <c r="BS29">
        <f t="shared" si="6"/>
        <v>3.8879293759857048E-2</v>
      </c>
      <c r="BU29">
        <f t="shared" si="8"/>
        <v>0.11078670148771971</v>
      </c>
      <c r="BV29">
        <f t="shared" si="20"/>
        <v>0.32890097902847903</v>
      </c>
      <c r="BZ29">
        <f t="shared" si="22"/>
        <v>0.22218263694921048</v>
      </c>
      <c r="CA29">
        <f t="shared" si="23"/>
        <v>0.14891512867823797</v>
      </c>
      <c r="CB29">
        <f t="shared" si="12"/>
        <v>0.18701843230145115</v>
      </c>
      <c r="CC29">
        <f t="shared" si="21"/>
        <v>8.2361095604927242E-2</v>
      </c>
      <c r="CD29">
        <f t="shared" si="13"/>
        <v>0.29399136512177082</v>
      </c>
      <c r="CE29">
        <f t="shared" si="14"/>
        <v>2.9058621733427503E-2</v>
      </c>
      <c r="CF29">
        <f t="shared" si="24"/>
        <v>0.18286559906981659</v>
      </c>
      <c r="CH29">
        <f t="shared" si="18"/>
        <v>0.15865540281988638</v>
      </c>
      <c r="CI29" s="42">
        <f t="shared" ref="CI29" si="25">((AK29*0.001)/1.06)/(BJ29*0.1)</f>
        <v>0.11389833556783621</v>
      </c>
      <c r="CJ29" s="17"/>
    </row>
    <row r="30" spans="1:88" x14ac:dyDescent="0.35">
      <c r="A30" s="18" t="s">
        <v>85</v>
      </c>
      <c r="B30" t="s">
        <v>56</v>
      </c>
      <c r="C30" s="19" t="s">
        <v>86</v>
      </c>
      <c r="D30" s="20" t="s">
        <v>118</v>
      </c>
      <c r="E30" s="21" t="s">
        <v>115</v>
      </c>
      <c r="F30" s="21" t="s">
        <v>112</v>
      </c>
      <c r="G30" s="22" t="s">
        <v>112</v>
      </c>
      <c r="H30" s="21">
        <v>42.92</v>
      </c>
      <c r="I30" s="21">
        <v>10.83</v>
      </c>
      <c r="J30" s="21">
        <v>8.1549999999999994</v>
      </c>
      <c r="K30" s="21">
        <v>3.7</v>
      </c>
      <c r="L30" s="22">
        <v>9.39</v>
      </c>
      <c r="M30" s="20">
        <v>1.615</v>
      </c>
      <c r="N30" s="21"/>
      <c r="O30" s="21"/>
      <c r="P30" s="21">
        <v>3.2450000000000001</v>
      </c>
      <c r="Q30" s="21">
        <v>2.81</v>
      </c>
      <c r="R30" s="21"/>
      <c r="S30" s="21"/>
      <c r="T30" s="21"/>
      <c r="U30" s="21">
        <v>0.64500000000000002</v>
      </c>
      <c r="V30" s="21">
        <v>0.64</v>
      </c>
      <c r="W30" s="21">
        <v>3.7949999999999999</v>
      </c>
      <c r="X30" s="21"/>
      <c r="Y30" s="21">
        <v>0.67</v>
      </c>
      <c r="Z30" s="21">
        <v>2.94</v>
      </c>
      <c r="AA30" s="21">
        <v>1.58</v>
      </c>
      <c r="AB30" s="21"/>
      <c r="AC30" s="21"/>
      <c r="AD30" s="21">
        <v>1.99</v>
      </c>
      <c r="AE30" s="21"/>
      <c r="AF30" s="21">
        <v>0.94</v>
      </c>
      <c r="AG30" s="21">
        <v>0.37</v>
      </c>
      <c r="AH30" s="21"/>
      <c r="AI30" s="21"/>
      <c r="AJ30" s="21"/>
      <c r="AK30" s="22"/>
      <c r="AL30" s="23">
        <v>2.7349999999999999</v>
      </c>
      <c r="AM30" s="17"/>
      <c r="AN30" s="17"/>
      <c r="AO30" s="17">
        <v>3.7810000000000001</v>
      </c>
      <c r="AP30" s="17">
        <v>1.6919999999999999</v>
      </c>
      <c r="AQ30" s="17"/>
      <c r="AR30" s="17"/>
      <c r="AS30" s="17"/>
      <c r="AT30" s="17">
        <v>6.0270000000000001</v>
      </c>
      <c r="AU30" s="17">
        <v>5.242</v>
      </c>
      <c r="AV30" s="17">
        <v>4.6310000000000002</v>
      </c>
      <c r="AW30" s="17"/>
      <c r="AX30" s="17">
        <v>5.9909999999999997</v>
      </c>
      <c r="AY30" s="17">
        <v>16.931999999999999</v>
      </c>
      <c r="AZ30" s="17">
        <v>1.8939999999999999</v>
      </c>
      <c r="BA30" s="17"/>
      <c r="BB30" s="17"/>
      <c r="BC30" s="17">
        <v>1.214</v>
      </c>
      <c r="BD30" s="17"/>
      <c r="BE30" s="17">
        <v>2.4780000000000002</v>
      </c>
      <c r="BF30" s="17">
        <v>1.044</v>
      </c>
      <c r="BG30" s="17"/>
      <c r="BH30" s="17"/>
      <c r="BI30" s="17"/>
      <c r="BJ30" s="17"/>
      <c r="BK30" s="41">
        <f t="shared" si="1"/>
        <v>5.5706943534200261E-3</v>
      </c>
      <c r="BN30">
        <f t="shared" si="2"/>
        <v>8.0965902002564944E-3</v>
      </c>
      <c r="BO30">
        <f t="shared" si="19"/>
        <v>1.5667514162094647E-2</v>
      </c>
      <c r="BS30">
        <f t="shared" si="6"/>
        <v>1.0096077087070447E-3</v>
      </c>
      <c r="BT30">
        <f t="shared" si="7"/>
        <v>1.151800047511752E-3</v>
      </c>
      <c r="BU30">
        <f t="shared" si="8"/>
        <v>7.7309191950880639E-3</v>
      </c>
      <c r="BW30">
        <f t="shared" si="9"/>
        <v>1.0550416820198853E-3</v>
      </c>
      <c r="BX30">
        <f t="shared" si="10"/>
        <v>1.6380728240375484E-3</v>
      </c>
      <c r="BY30">
        <f t="shared" si="11"/>
        <v>7.8699368412663614E-3</v>
      </c>
      <c r="CB30">
        <f t="shared" si="12"/>
        <v>1.5464237978303439E-2</v>
      </c>
      <c r="CD30">
        <f t="shared" si="13"/>
        <v>3.5786620372485413E-3</v>
      </c>
      <c r="CE30">
        <f t="shared" si="14"/>
        <v>3.3434540591339547E-3</v>
      </c>
      <c r="CI30" s="42"/>
      <c r="CJ30" s="17"/>
    </row>
    <row r="31" spans="1:88" ht="15" thickBot="1" x14ac:dyDescent="0.4">
      <c r="A31" s="24" t="s">
        <v>55</v>
      </c>
      <c r="B31" s="25" t="s">
        <v>56</v>
      </c>
      <c r="C31" s="26" t="s">
        <v>57</v>
      </c>
      <c r="D31" s="27" t="s">
        <v>118</v>
      </c>
      <c r="E31" s="28" t="s">
        <v>115</v>
      </c>
      <c r="F31" s="28" t="s">
        <v>112</v>
      </c>
      <c r="G31" s="29" t="s">
        <v>112</v>
      </c>
      <c r="H31" s="28">
        <v>56.354999999999997</v>
      </c>
      <c r="I31" s="28">
        <v>11.19</v>
      </c>
      <c r="J31" s="28">
        <v>8.5949999999999989</v>
      </c>
      <c r="K31" s="28">
        <v>4.6400000000000006</v>
      </c>
      <c r="L31" s="29">
        <v>10.06</v>
      </c>
      <c r="M31" s="27">
        <v>5.3449999999999998</v>
      </c>
      <c r="N31" s="28"/>
      <c r="O31" s="28"/>
      <c r="P31" s="28">
        <v>3.94</v>
      </c>
      <c r="Q31" s="28">
        <v>3.27</v>
      </c>
      <c r="R31" s="28"/>
      <c r="S31" s="28"/>
      <c r="T31" s="28">
        <v>0.01</v>
      </c>
      <c r="U31" s="28">
        <v>1.4650000000000001</v>
      </c>
      <c r="V31" s="28">
        <v>0.38</v>
      </c>
      <c r="W31" s="28">
        <v>2.5499999999999998</v>
      </c>
      <c r="X31" s="28"/>
      <c r="Y31" s="28">
        <v>0.46500000000000002</v>
      </c>
      <c r="Z31" s="28">
        <v>1.6</v>
      </c>
      <c r="AA31" s="28">
        <v>5.86</v>
      </c>
      <c r="AB31" s="28"/>
      <c r="AC31" s="28"/>
      <c r="AD31" s="28">
        <v>1.19</v>
      </c>
      <c r="AE31" s="28">
        <v>0.72</v>
      </c>
      <c r="AF31" s="28">
        <v>2.95</v>
      </c>
      <c r="AG31" s="28">
        <v>0.66</v>
      </c>
      <c r="AH31" s="28"/>
      <c r="AI31" s="28"/>
      <c r="AJ31" s="28"/>
      <c r="AK31" s="29"/>
      <c r="AL31" s="30">
        <v>4.4130000000000003</v>
      </c>
      <c r="AM31" s="31"/>
      <c r="AN31" s="31"/>
      <c r="AO31" s="31">
        <v>3.1760000000000002</v>
      </c>
      <c r="AP31" s="31">
        <v>2.617</v>
      </c>
      <c r="AQ31" s="31"/>
      <c r="AR31" s="31"/>
      <c r="AS31" s="31">
        <v>1.177</v>
      </c>
      <c r="AT31" s="31">
        <v>2.65</v>
      </c>
      <c r="AU31" s="31">
        <v>3.9870000000000001</v>
      </c>
      <c r="AV31" s="31">
        <v>5.923</v>
      </c>
      <c r="AW31" s="31"/>
      <c r="AX31" s="31">
        <v>4.8120000000000003</v>
      </c>
      <c r="AY31" s="31">
        <v>13.255000000000001</v>
      </c>
      <c r="AZ31" s="31">
        <v>3.1429999999999998</v>
      </c>
      <c r="BA31" s="31"/>
      <c r="BB31" s="31"/>
      <c r="BC31" s="31">
        <v>2.6640000000000001</v>
      </c>
      <c r="BD31" s="31">
        <v>2.028</v>
      </c>
      <c r="BE31" s="31">
        <v>3.96</v>
      </c>
      <c r="BF31" s="31">
        <v>1.9179999999999999</v>
      </c>
      <c r="BG31" s="31"/>
      <c r="BH31" s="31"/>
      <c r="BI31" s="31"/>
      <c r="BJ31" s="31"/>
      <c r="BK31" s="43">
        <f t="shared" si="1"/>
        <v>1.1426360367524766E-2</v>
      </c>
      <c r="BL31" s="25"/>
      <c r="BM31" s="25"/>
      <c r="BN31" s="25">
        <f t="shared" si="2"/>
        <v>1.1703341095955513E-2</v>
      </c>
      <c r="BO31" s="25">
        <f t="shared" si="19"/>
        <v>1.1787946734342218E-2</v>
      </c>
      <c r="BP31" s="25"/>
      <c r="BQ31" s="25"/>
      <c r="BR31" s="25">
        <f t="shared" si="5"/>
        <v>8.0152610570526282E-5</v>
      </c>
      <c r="BS31" s="25">
        <f t="shared" si="6"/>
        <v>5.2153791384834461E-3</v>
      </c>
      <c r="BT31" s="25">
        <f t="shared" si="7"/>
        <v>8.9914864820099267E-4</v>
      </c>
      <c r="BU31" s="25">
        <f t="shared" si="8"/>
        <v>4.061557280699798E-3</v>
      </c>
      <c r="BV31" s="25"/>
      <c r="BW31" s="25">
        <f t="shared" si="9"/>
        <v>9.1163600432880051E-4</v>
      </c>
      <c r="BX31" s="25">
        <f t="shared" si="10"/>
        <v>1.1387657203049044E-3</v>
      </c>
      <c r="BY31" s="25">
        <f t="shared" si="11"/>
        <v>1.758925194652387E-2</v>
      </c>
      <c r="BZ31" s="25"/>
      <c r="CA31" s="25"/>
      <c r="CB31" s="25">
        <f t="shared" si="12"/>
        <v>4.2141197801575147E-3</v>
      </c>
      <c r="CC31" s="25">
        <f t="shared" si="21"/>
        <v>3.3493357150831747E-3</v>
      </c>
      <c r="CD31" s="25">
        <f t="shared" si="13"/>
        <v>7.0278254240518393E-3</v>
      </c>
      <c r="CE31" s="25">
        <f t="shared" si="14"/>
        <v>3.2463060971530877E-3</v>
      </c>
      <c r="CF31" s="25"/>
      <c r="CG31" s="25"/>
      <c r="CH31" s="25"/>
      <c r="CI31" s="44"/>
      <c r="CJ31" s="17"/>
    </row>
    <row r="36" spans="63:88" x14ac:dyDescent="0.35"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</row>
    <row r="37" spans="63:88" x14ac:dyDescent="0.35"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</row>
    <row r="38" spans="63:88" x14ac:dyDescent="0.35"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</row>
    <row r="39" spans="63:88" x14ac:dyDescent="0.35"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</row>
    <row r="40" spans="63:88" x14ac:dyDescent="0.35"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</row>
    <row r="41" spans="63:88" x14ac:dyDescent="0.35"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</row>
    <row r="42" spans="63:88" x14ac:dyDescent="0.35"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</row>
    <row r="43" spans="63:88" x14ac:dyDescent="0.35"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</row>
    <row r="44" spans="63:88" x14ac:dyDescent="0.35"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</row>
    <row r="45" spans="63:88" x14ac:dyDescent="0.35"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</row>
    <row r="46" spans="63:88" x14ac:dyDescent="0.35"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</row>
    <row r="47" spans="63:88" x14ac:dyDescent="0.35"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</row>
    <row r="48" spans="63:88" x14ac:dyDescent="0.35"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</row>
    <row r="49" spans="63:88" x14ac:dyDescent="0.35"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</row>
    <row r="50" spans="63:88" x14ac:dyDescent="0.35"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</row>
    <row r="51" spans="63:88" x14ac:dyDescent="0.35"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</row>
    <row r="52" spans="63:88" x14ac:dyDescent="0.35"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</row>
    <row r="53" spans="63:88" x14ac:dyDescent="0.35"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</row>
    <row r="54" spans="63:88" x14ac:dyDescent="0.35"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</row>
    <row r="55" spans="63:88" x14ac:dyDescent="0.35"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</row>
    <row r="56" spans="63:88" x14ac:dyDescent="0.35"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</row>
    <row r="57" spans="63:88" x14ac:dyDescent="0.35"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</row>
    <row r="58" spans="63:88" x14ac:dyDescent="0.35"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</row>
    <row r="59" spans="63:88" x14ac:dyDescent="0.35"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</row>
    <row r="60" spans="63:88" x14ac:dyDescent="0.35"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</row>
    <row r="61" spans="63:88" x14ac:dyDescent="0.35"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</row>
    <row r="62" spans="63:88" x14ac:dyDescent="0.35"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</row>
    <row r="63" spans="63:88" x14ac:dyDescent="0.35"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</row>
    <row r="64" spans="63:88" x14ac:dyDescent="0.35">
      <c r="BK64" s="17"/>
      <c r="BL64" s="17"/>
      <c r="BM64" s="17"/>
      <c r="BN64" s="17"/>
      <c r="BO64" s="17"/>
      <c r="BP64" s="33"/>
      <c r="BQ64" s="33"/>
      <c r="BR64" s="17"/>
      <c r="BS64" s="17"/>
      <c r="BT64" s="33"/>
      <c r="BU64" s="34"/>
      <c r="BV64" s="33"/>
      <c r="BW64" s="17"/>
      <c r="BX64" s="17"/>
      <c r="BY64" s="17"/>
      <c r="BZ64" s="33"/>
      <c r="CA64" s="33"/>
      <c r="CB64" s="17"/>
      <c r="CC64" s="33"/>
      <c r="CD64" s="35"/>
      <c r="CE64" s="17"/>
      <c r="CF64" s="33"/>
      <c r="CG64" s="17"/>
      <c r="CH64" s="17"/>
      <c r="CI64" s="33"/>
      <c r="CJ64" s="17"/>
    </row>
  </sheetData>
  <sortState xmlns:xlrd2="http://schemas.microsoft.com/office/spreadsheetml/2017/richdata2" ref="A3:CJ64">
    <sortCondition ref="C3:C64"/>
  </sortState>
  <mergeCells count="4">
    <mergeCell ref="H1:L1"/>
    <mergeCell ref="M1:AK1"/>
    <mergeCell ref="AL1:BJ1"/>
    <mergeCell ref="BK1:C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 TAILLADES</dc:creator>
  <cp:lastModifiedBy>Morgane Taillades</cp:lastModifiedBy>
  <dcterms:created xsi:type="dcterms:W3CDTF">2024-07-16T09:37:19Z</dcterms:created>
  <dcterms:modified xsi:type="dcterms:W3CDTF">2026-02-13T13:54:22Z</dcterms:modified>
</cp:coreProperties>
</file>